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467535F0-A655-4EDE-9D49-41CDDB1268A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ojekt-Gesamtkost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2" i="1"/>
  <c r="G31" i="1"/>
  <c r="G30" i="1"/>
  <c r="G29" i="1"/>
  <c r="G27" i="1"/>
  <c r="G26" i="1"/>
  <c r="G25" i="1"/>
  <c r="G24" i="1"/>
  <c r="G22" i="1"/>
  <c r="G20" i="1"/>
  <c r="G19" i="1"/>
  <c r="G18" i="1"/>
  <c r="G17" i="1"/>
  <c r="G16" i="1"/>
  <c r="G15" i="1"/>
  <c r="G14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<sst xmlns="http://schemas.openxmlformats.org/spreadsheetml/2006/main" count="131" uniqueCount="95">
  <si>
    <t>SYNCHRO Modellbahnsteuerung – Gesamtkostenkalkulation</t>
  </si>
  <si>
    <t>Projektumfang: 1x Zentrale, 5x Standard-Booster, 1x Prototyp-Booster | Inkl. Leiterplatten, Gehäuse &amp; Stromversorgung</t>
  </si>
  <si>
    <t>Pos</t>
  </si>
  <si>
    <t>Kategorie / Hauptkomponente</t>
  </si>
  <si>
    <t>Beschreibung &amp; Enthaltene Komponenten</t>
  </si>
  <si>
    <t>Menge</t>
  </si>
  <si>
    <t>Einheit</t>
  </si>
  <si>
    <t>Geschätzter Richtpreis</t>
  </si>
  <si>
    <t>Gesamtbetrag</t>
  </si>
  <si>
    <t>Lieferant / Quelle</t>
  </si>
  <si>
    <t>1.0  SYNCHRO ZENTRALE (1 Stück)</t>
  </si>
  <si>
    <t>1.1</t>
  </si>
  <si>
    <t>Haupt-Mikrocontroller</t>
  </si>
  <si>
    <t>ESP32-S3-WROOM-1-N8R8 (8MB Flash, 8MB PSRAM)</t>
  </si>
  <si>
    <t>Stk.</t>
  </si>
  <si>
    <t>Mouser</t>
  </si>
  <si>
    <t>1.2</t>
  </si>
  <si>
    <t>Logik &amp; Bus-Treiber</t>
  </si>
  <si>
    <t>2x MC74VHCT541A Octal Buffer SOIC-20</t>
  </si>
  <si>
    <t>Satz</t>
  </si>
  <si>
    <t>1.3</t>
  </si>
  <si>
    <t>Spannungsversorgung Platine</t>
  </si>
  <si>
    <t>R-78E5.0-1.0, R-78E3.3-0.5, AZ1117 LDO, Schottky-Diode</t>
  </si>
  <si>
    <t>1.4</t>
  </si>
  <si>
    <t>Kondensatoren &amp; Passivbauteile</t>
  </si>
  <si>
    <t>14x Keramikkondensatoren (1206/1210: 22µF, 10µF, 1µF, 100nF)</t>
  </si>
  <si>
    <t>1.5</t>
  </si>
  <si>
    <t>SMD-Widerstände 0805</t>
  </si>
  <si>
    <t>12x SMD-Widerstände 0805 1% (10k, 220R, 470R)</t>
  </si>
  <si>
    <t>1.6</t>
  </si>
  <si>
    <t>Steckverbinder, Taster &amp; LEDs</t>
  </si>
  <si>
    <t>8x JST-XH 4-Pin, USB-B Buchse, DC-Buchse, 6x Taster, 6x LEDs, Stiftleiste</t>
  </si>
  <si>
    <t>1.7</t>
  </si>
  <si>
    <t>Zentrale-Netzteil (Zubehör)</t>
  </si>
  <si>
    <t>CUI 12V 1A AC/DC Steckernetzteil (Eurostecker)</t>
  </si>
  <si>
    <t>2.0  SYNCHRO STANDARD-BOOSTER (5 Stück)</t>
  </si>
  <si>
    <t>2.1</t>
  </si>
  <si>
    <t>H-Brücken Leistungstreiber</t>
  </si>
  <si>
    <t>5x L6203 DMOS Vollbrücken-Treiber 4A 52V (MULTIWATT-11)</t>
  </si>
  <si>
    <t>2.2</t>
  </si>
  <si>
    <t>Kühlkörper Leistungstreiber</t>
  </si>
  <si>
    <t>5x Aufsteckkühlkörper für Multiwatt-11 Gehäuse</t>
  </si>
  <si>
    <t>Mouser / Distrelec</t>
  </si>
  <si>
    <t>2.3</t>
  </si>
  <si>
    <t>Optokoppler &amp; Komparator Logik</t>
  </si>
  <si>
    <t>10x 6N137 High-Speed Optokoppler, 5x LM393, 5x 74LVC2G02</t>
  </si>
  <si>
    <t>2.4</t>
  </si>
  <si>
    <t>Booster Stromversorgung Platine</t>
  </si>
  <si>
    <t>5x R-78E5.0-0.5 DC/DC-Schaltregler, TVS- &amp; Schutzdioden</t>
  </si>
  <si>
    <t>2.5</t>
  </si>
  <si>
    <t>Kondensatoren &amp; Elkos</t>
  </si>
  <si>
    <t>10x 470µF Elkos, 25x 100nF THT, Folienkondensatoren (22nF, 10µF)</t>
  </si>
  <si>
    <t>2.6</t>
  </si>
  <si>
    <t>Widerstände &amp; Shunts</t>
  </si>
  <si>
    <t>5x 100mΩ 2512 Shunts + 55x SMD-Widerstände 0805 (10R bis 24k)</t>
  </si>
  <si>
    <t>2.7</t>
  </si>
  <si>
    <t>Klemmen, PTCs, Taster &amp; LEDs</t>
  </si>
  <si>
    <t>10x Phoenix 2p, 5x Phoenix 3p, 5x JST-XH, 5x PTC 1.85A, Taster &amp; LEDs</t>
  </si>
  <si>
    <t>3.0  SPEZIELLER BOOSTER PROTOTYP (1 Stück)</t>
  </si>
  <si>
    <t>3.1</t>
  </si>
  <si>
    <t>Prototyp-Bauteilsatz</t>
  </si>
  <si>
    <t>Komplettsatz Bauteile (Leistungstreiber, Optokoppler, Passiv, Klemmen, Kühlkörper)</t>
  </si>
  <si>
    <t>4.0  LEITERPLATTEN-FERTIGUNG (PCB Batches)</t>
  </si>
  <si>
    <t>4.1</t>
  </si>
  <si>
    <t>PCB Zentrale (Batch 5 Stk.)</t>
  </si>
  <si>
    <t>2-Layer FR4 1.6mm HASL lead-free (1 verwendet, 4 Reserve)</t>
  </si>
  <si>
    <t>Batch</t>
  </si>
  <si>
    <t>JLCPCB / PCBWay</t>
  </si>
  <si>
    <t>4.2</t>
  </si>
  <si>
    <t>PCB Booster (Batch 5 Stk.)</t>
  </si>
  <si>
    <t>2-Layer FR4 1.6mm HASL lead-free (5 verwendet)</t>
  </si>
  <si>
    <t>4.3</t>
  </si>
  <si>
    <t>PCB Prototyp (Batch 5 Stk.)</t>
  </si>
  <si>
    <t>4.4</t>
  </si>
  <si>
    <t>Express-Versand &amp; Verzollung PCBs</t>
  </si>
  <si>
    <t>Kombinierter DHL Express Versand + Einfuhr/Handling Schweiz</t>
  </si>
  <si>
    <t>Pauschal</t>
  </si>
  <si>
    <t>Spediteur / DHL</t>
  </si>
  <si>
    <t>5.0  HAUPTSTROMVERSORGUNG &amp; GEHÄUSE (3D-DRUCK)</t>
  </si>
  <si>
    <t>5.1</t>
  </si>
  <si>
    <t>Gleisstrom-Hauptnetzteil</t>
  </si>
  <si>
    <t>MeanWell LRS-350-15 Schaltnetzteil (15V DC / 23.2A / 350W)</t>
  </si>
  <si>
    <t>5.2</t>
  </si>
  <si>
    <t>3D-Druck Gehäuse (PLA)</t>
  </si>
  <si>
    <t>7x Gehäuseunterteil &amp; Deckel (ca. 550g PLA Filament)</t>
  </si>
  <si>
    <t>Filamentbestand</t>
  </si>
  <si>
    <t>5.3</t>
  </si>
  <si>
    <t>3D-Druck Frontblenden (Resin)</t>
  </si>
  <si>
    <t>7x Frontplatten / Lichtleiter / Tasterführungen (ca. 200ml Resin)</t>
  </si>
  <si>
    <t>Resinbestand</t>
  </si>
  <si>
    <t>5.4</t>
  </si>
  <si>
    <t>Montagematerial &amp; Puffer</t>
  </si>
  <si>
    <t>Schrauben M3/M2.5, Gummifüsse, Litzen, Puffer für Kleinteile</t>
  </si>
  <si>
    <t>Werkstatt</t>
  </si>
  <si>
    <t>GESAMTSUMME PROJEKT: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</si>
</sst>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CHF&quot;"/>
  </numFmts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Segoe UI"/>
    </font>
    <font>
      <i/>
      <sz val="10"/>
      <color rgb="FF595959"/>
      <name val="Segoe UI"/>
    </font>
    <font>
      <b/>
      <sz val="10"/>
      <color rgb="FFFFFFFF"/>
      <name val="Segoe UI"/>
    </font>
    <font>
      <b/>
      <sz val="11"/>
      <color rgb="FF1F4E79"/>
      <name val="Segoe UI"/>
    </font>
    <font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right" vertical="center"/>
    </xf>
    <xf numFmtId="0" fontId="0" fillId="6" borderId="3" xfId="0" applyFill="1" applyBorder="1"/>
    <xf numFmtId="164" fontId="4" fillId="6" borderId="3" xfId="0" applyNumberFormat="1" applyFont="1" applyFill="1" applyBorder="1" applyAlignment="1">
      <alignment horizontal="right" vertical="center"/>
    </xf>
    <xf numFmtId="0" fontId="4" fillId="6" borderId="3" xfId="0" applyFont="1" applyFill="1" applyBorder="1" applyAlignment="1">
      <alignment horizontal="right" vertical="center"/>
    </xf>
    <xf numFmtId="0" fontId="0" fillId="6" borderId="3" xfId="0" applyFill="1" applyBorder="1"/>
    <xf numFmtId="0" fontId="4" fillId="3" borderId="2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7CEE4DE1-F611-4DC3-A535-1BF15EF40A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F39" sqref="F39"/>
    </sheetView>
  </sheetViews>
  <sheetFormatPr baseColWidth="10" defaultColWidth="9.140625" defaultRowHeight="15" x14ac:dyDescent="0.25"/>
  <cols>
    <col min="1" max="1" width="8" customWidth="1"/>
    <col min="2" max="2" width="31.5703125" bestFit="1" customWidth="1"/>
    <col min="3" max="3" width="72" bestFit="1" customWidth="1"/>
    <col min="4" max="5" width="9" customWidth="1"/>
    <col min="6" max="6" width="18" customWidth="1"/>
    <col min="7" max="7" width="13.28515625" bestFit="1" customWidth="1"/>
    <col min="8" max="8" width="20" customWidth="1"/>
  </cols>
  <sheetData>
    <row r="1" spans="1:8" ht="20.25" x14ac:dyDescent="0.35">
      <c r="A1" s="1" t="s">
        <v>0</v>
      </c>
    </row>
    <row r="2" spans="1:8" x14ac:dyDescent="0.25">
      <c r="A2" s="2" t="s">
        <v>1</v>
      </c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16.5" x14ac:dyDescent="0.25">
      <c r="A5" s="14" t="s">
        <v>10</v>
      </c>
      <c r="B5" s="15"/>
      <c r="C5" s="15"/>
      <c r="D5" s="15"/>
      <c r="E5" s="15"/>
      <c r="F5" s="15"/>
      <c r="G5" s="15"/>
      <c r="H5" s="15"/>
    </row>
    <row r="6" spans="1:8" x14ac:dyDescent="0.25">
      <c r="A6" s="4" t="s">
        <v>11</v>
      </c>
      <c r="B6" s="5" t="s">
        <v>12</v>
      </c>
      <c r="C6" s="5" t="s">
        <v>13</v>
      </c>
      <c r="D6" s="4">
        <v>1</v>
      </c>
      <c r="E6" s="4" t="s">
        <v>14</v>
      </c>
      <c r="F6" s="6">
        <v>6</v>
      </c>
      <c r="G6" s="6">
        <f t="shared" ref="G6:G12" si="0">D6*F6</f>
        <v>6</v>
      </c>
      <c r="H6" s="5" t="s">
        <v>15</v>
      </c>
    </row>
    <row r="7" spans="1:8" x14ac:dyDescent="0.25">
      <c r="A7" s="7" t="s">
        <v>16</v>
      </c>
      <c r="B7" s="8" t="s">
        <v>17</v>
      </c>
      <c r="C7" s="8" t="s">
        <v>18</v>
      </c>
      <c r="D7" s="7">
        <v>1</v>
      </c>
      <c r="E7" s="7" t="s">
        <v>19</v>
      </c>
      <c r="F7" s="9">
        <v>2.5</v>
      </c>
      <c r="G7" s="9">
        <f t="shared" si="0"/>
        <v>2.5</v>
      </c>
      <c r="H7" s="8" t="s">
        <v>15</v>
      </c>
    </row>
    <row r="8" spans="1:8" x14ac:dyDescent="0.25">
      <c r="A8" s="4" t="s">
        <v>20</v>
      </c>
      <c r="B8" s="5" t="s">
        <v>21</v>
      </c>
      <c r="C8" s="5" t="s">
        <v>22</v>
      </c>
      <c r="D8" s="4">
        <v>1</v>
      </c>
      <c r="E8" s="4" t="s">
        <v>19</v>
      </c>
      <c r="F8" s="6">
        <v>8</v>
      </c>
      <c r="G8" s="6">
        <f t="shared" si="0"/>
        <v>8</v>
      </c>
      <c r="H8" s="5" t="s">
        <v>15</v>
      </c>
    </row>
    <row r="9" spans="1:8" x14ac:dyDescent="0.25">
      <c r="A9" s="7" t="s">
        <v>23</v>
      </c>
      <c r="B9" s="8" t="s">
        <v>24</v>
      </c>
      <c r="C9" s="8" t="s">
        <v>25</v>
      </c>
      <c r="D9" s="7">
        <v>1</v>
      </c>
      <c r="E9" s="7" t="s">
        <v>19</v>
      </c>
      <c r="F9" s="9">
        <v>6.5</v>
      </c>
      <c r="G9" s="9">
        <f t="shared" si="0"/>
        <v>6.5</v>
      </c>
      <c r="H9" s="8" t="s">
        <v>15</v>
      </c>
    </row>
    <row r="10" spans="1:8" x14ac:dyDescent="0.25">
      <c r="A10" s="4" t="s">
        <v>26</v>
      </c>
      <c r="B10" s="5" t="s">
        <v>27</v>
      </c>
      <c r="C10" s="5" t="s">
        <v>28</v>
      </c>
      <c r="D10" s="4">
        <v>1</v>
      </c>
      <c r="E10" s="4" t="s">
        <v>19</v>
      </c>
      <c r="F10" s="6">
        <v>1.5</v>
      </c>
      <c r="G10" s="6">
        <f t="shared" si="0"/>
        <v>1.5</v>
      </c>
      <c r="H10" s="5" t="s">
        <v>15</v>
      </c>
    </row>
    <row r="11" spans="1:8" x14ac:dyDescent="0.25">
      <c r="A11" s="7" t="s">
        <v>29</v>
      </c>
      <c r="B11" s="8" t="s">
        <v>30</v>
      </c>
      <c r="C11" s="8" t="s">
        <v>31</v>
      </c>
      <c r="D11" s="7">
        <v>1</v>
      </c>
      <c r="E11" s="7" t="s">
        <v>19</v>
      </c>
      <c r="F11" s="9">
        <v>8.5</v>
      </c>
      <c r="G11" s="9">
        <f t="shared" si="0"/>
        <v>8.5</v>
      </c>
      <c r="H11" s="8" t="s">
        <v>15</v>
      </c>
    </row>
    <row r="12" spans="1:8" x14ac:dyDescent="0.25">
      <c r="A12" s="4" t="s">
        <v>32</v>
      </c>
      <c r="B12" s="5" t="s">
        <v>33</v>
      </c>
      <c r="C12" s="5" t="s">
        <v>34</v>
      </c>
      <c r="D12" s="4">
        <v>1</v>
      </c>
      <c r="E12" s="4" t="s">
        <v>14</v>
      </c>
      <c r="F12" s="6">
        <v>12</v>
      </c>
      <c r="G12" s="6">
        <f t="shared" si="0"/>
        <v>12</v>
      </c>
      <c r="H12" s="5" t="s">
        <v>15</v>
      </c>
    </row>
    <row r="13" spans="1:8" ht="16.5" x14ac:dyDescent="0.25">
      <c r="A13" s="14" t="s">
        <v>35</v>
      </c>
      <c r="B13" s="15"/>
      <c r="C13" s="15"/>
      <c r="D13" s="15"/>
      <c r="E13" s="15"/>
      <c r="F13" s="15"/>
      <c r="G13" s="15"/>
      <c r="H13" s="15"/>
    </row>
    <row r="14" spans="1:8" x14ac:dyDescent="0.25">
      <c r="A14" s="4" t="s">
        <v>36</v>
      </c>
      <c r="B14" s="5" t="s">
        <v>37</v>
      </c>
      <c r="C14" s="5" t="s">
        <v>38</v>
      </c>
      <c r="D14" s="4">
        <v>5</v>
      </c>
      <c r="E14" s="4" t="s">
        <v>14</v>
      </c>
      <c r="F14" s="6">
        <v>10.5</v>
      </c>
      <c r="G14" s="6">
        <f t="shared" ref="G14:G20" si="1">D14*F14</f>
        <v>52.5</v>
      </c>
      <c r="H14" s="5" t="s">
        <v>15</v>
      </c>
    </row>
    <row r="15" spans="1:8" x14ac:dyDescent="0.25">
      <c r="A15" s="7" t="s">
        <v>39</v>
      </c>
      <c r="B15" s="8" t="s">
        <v>40</v>
      </c>
      <c r="C15" s="8" t="s">
        <v>41</v>
      </c>
      <c r="D15" s="7">
        <v>5</v>
      </c>
      <c r="E15" s="7" t="s">
        <v>14</v>
      </c>
      <c r="F15" s="9">
        <v>2</v>
      </c>
      <c r="G15" s="9">
        <f t="shared" si="1"/>
        <v>10</v>
      </c>
      <c r="H15" s="8" t="s">
        <v>42</v>
      </c>
    </row>
    <row r="16" spans="1:8" x14ac:dyDescent="0.25">
      <c r="A16" s="4" t="s">
        <v>43</v>
      </c>
      <c r="B16" s="5" t="s">
        <v>44</v>
      </c>
      <c r="C16" s="5" t="s">
        <v>45</v>
      </c>
      <c r="D16" s="4">
        <v>5</v>
      </c>
      <c r="E16" s="4" t="s">
        <v>19</v>
      </c>
      <c r="F16" s="6">
        <v>4</v>
      </c>
      <c r="G16" s="6">
        <f t="shared" si="1"/>
        <v>20</v>
      </c>
      <c r="H16" s="5" t="s">
        <v>15</v>
      </c>
    </row>
    <row r="17" spans="1:8" x14ac:dyDescent="0.25">
      <c r="A17" s="7" t="s">
        <v>46</v>
      </c>
      <c r="B17" s="8" t="s">
        <v>47</v>
      </c>
      <c r="C17" s="8" t="s">
        <v>48</v>
      </c>
      <c r="D17" s="7">
        <v>5</v>
      </c>
      <c r="E17" s="7" t="s">
        <v>19</v>
      </c>
      <c r="F17" s="9">
        <v>4</v>
      </c>
      <c r="G17" s="9">
        <f t="shared" si="1"/>
        <v>20</v>
      </c>
      <c r="H17" s="8" t="s">
        <v>15</v>
      </c>
    </row>
    <row r="18" spans="1:8" x14ac:dyDescent="0.25">
      <c r="A18" s="4" t="s">
        <v>49</v>
      </c>
      <c r="B18" s="5" t="s">
        <v>50</v>
      </c>
      <c r="C18" s="5" t="s">
        <v>51</v>
      </c>
      <c r="D18" s="4">
        <v>5</v>
      </c>
      <c r="E18" s="4" t="s">
        <v>19</v>
      </c>
      <c r="F18" s="6">
        <v>5</v>
      </c>
      <c r="G18" s="6">
        <f t="shared" si="1"/>
        <v>25</v>
      </c>
      <c r="H18" s="5" t="s">
        <v>15</v>
      </c>
    </row>
    <row r="19" spans="1:8" x14ac:dyDescent="0.25">
      <c r="A19" s="7" t="s">
        <v>52</v>
      </c>
      <c r="B19" s="8" t="s">
        <v>53</v>
      </c>
      <c r="C19" s="8" t="s">
        <v>54</v>
      </c>
      <c r="D19" s="7">
        <v>5</v>
      </c>
      <c r="E19" s="7" t="s">
        <v>19</v>
      </c>
      <c r="F19" s="9">
        <v>2</v>
      </c>
      <c r="G19" s="9">
        <f t="shared" si="1"/>
        <v>10</v>
      </c>
      <c r="H19" s="8" t="s">
        <v>15</v>
      </c>
    </row>
    <row r="20" spans="1:8" x14ac:dyDescent="0.25">
      <c r="A20" s="4" t="s">
        <v>55</v>
      </c>
      <c r="B20" s="5" t="s">
        <v>56</v>
      </c>
      <c r="C20" s="5" t="s">
        <v>57</v>
      </c>
      <c r="D20" s="4">
        <v>5</v>
      </c>
      <c r="E20" s="4" t="s">
        <v>19</v>
      </c>
      <c r="F20" s="6">
        <v>5</v>
      </c>
      <c r="G20" s="6">
        <f t="shared" si="1"/>
        <v>25</v>
      </c>
      <c r="H20" s="5" t="s">
        <v>15</v>
      </c>
    </row>
    <row r="21" spans="1:8" ht="16.5" x14ac:dyDescent="0.25">
      <c r="A21" s="14" t="s">
        <v>58</v>
      </c>
      <c r="B21" s="15"/>
      <c r="C21" s="15"/>
      <c r="D21" s="15"/>
      <c r="E21" s="15"/>
      <c r="F21" s="15"/>
      <c r="G21" s="15"/>
      <c r="H21" s="15"/>
    </row>
    <row r="22" spans="1:8" x14ac:dyDescent="0.25">
      <c r="A22" s="4" t="s">
        <v>59</v>
      </c>
      <c r="B22" s="5" t="s">
        <v>60</v>
      </c>
      <c r="C22" s="5" t="s">
        <v>61</v>
      </c>
      <c r="D22" s="4">
        <v>1</v>
      </c>
      <c r="E22" s="4" t="s">
        <v>19</v>
      </c>
      <c r="F22" s="6">
        <v>32</v>
      </c>
      <c r="G22" s="6">
        <f>D22*F22</f>
        <v>32</v>
      </c>
      <c r="H22" s="5" t="s">
        <v>15</v>
      </c>
    </row>
    <row r="23" spans="1:8" ht="16.5" x14ac:dyDescent="0.25">
      <c r="A23" s="14" t="s">
        <v>62</v>
      </c>
      <c r="B23" s="15"/>
      <c r="C23" s="15"/>
      <c r="D23" s="15"/>
      <c r="E23" s="15"/>
      <c r="F23" s="15"/>
      <c r="G23" s="15"/>
      <c r="H23" s="15"/>
    </row>
    <row r="24" spans="1:8" x14ac:dyDescent="0.25">
      <c r="A24" s="4" t="s">
        <v>63</v>
      </c>
      <c r="B24" s="5" t="s">
        <v>64</v>
      </c>
      <c r="C24" s="5" t="s">
        <v>65</v>
      </c>
      <c r="D24" s="4">
        <v>1</v>
      </c>
      <c r="E24" s="4" t="s">
        <v>66</v>
      </c>
      <c r="F24" s="6">
        <v>4</v>
      </c>
      <c r="G24" s="6">
        <f>D24*F24</f>
        <v>4</v>
      </c>
      <c r="H24" s="5" t="s">
        <v>67</v>
      </c>
    </row>
    <row r="25" spans="1:8" x14ac:dyDescent="0.25">
      <c r="A25" s="7" t="s">
        <v>68</v>
      </c>
      <c r="B25" s="8" t="s">
        <v>69</v>
      </c>
      <c r="C25" s="8" t="s">
        <v>70</v>
      </c>
      <c r="D25" s="7">
        <v>1</v>
      </c>
      <c r="E25" s="7" t="s">
        <v>66</v>
      </c>
      <c r="F25" s="9">
        <v>4</v>
      </c>
      <c r="G25" s="9">
        <f>D25*F25</f>
        <v>4</v>
      </c>
      <c r="H25" s="8" t="s">
        <v>67</v>
      </c>
    </row>
    <row r="26" spans="1:8" x14ac:dyDescent="0.25">
      <c r="A26" s="4" t="s">
        <v>71</v>
      </c>
      <c r="B26" s="5" t="s">
        <v>72</v>
      </c>
      <c r="C26" s="5" t="s">
        <v>65</v>
      </c>
      <c r="D26" s="4">
        <v>1</v>
      </c>
      <c r="E26" s="4" t="s">
        <v>66</v>
      </c>
      <c r="F26" s="6">
        <v>4</v>
      </c>
      <c r="G26" s="6">
        <f>D26*F26</f>
        <v>4</v>
      </c>
      <c r="H26" s="5" t="s">
        <v>67</v>
      </c>
    </row>
    <row r="27" spans="1:8" x14ac:dyDescent="0.25">
      <c r="A27" s="7" t="s">
        <v>73</v>
      </c>
      <c r="B27" s="8" t="s">
        <v>74</v>
      </c>
      <c r="C27" s="8" t="s">
        <v>75</v>
      </c>
      <c r="D27" s="7">
        <v>1</v>
      </c>
      <c r="E27" s="7" t="s">
        <v>76</v>
      </c>
      <c r="F27" s="9">
        <v>24</v>
      </c>
      <c r="G27" s="9">
        <f>D27*F27</f>
        <v>24</v>
      </c>
      <c r="H27" s="8" t="s">
        <v>77</v>
      </c>
    </row>
    <row r="28" spans="1:8" ht="16.5" x14ac:dyDescent="0.25">
      <c r="A28" s="14" t="s">
        <v>78</v>
      </c>
      <c r="B28" s="15"/>
      <c r="C28" s="15"/>
      <c r="D28" s="15"/>
      <c r="E28" s="15"/>
      <c r="F28" s="15"/>
      <c r="G28" s="15"/>
      <c r="H28" s="15"/>
    </row>
    <row r="29" spans="1:8" x14ac:dyDescent="0.25">
      <c r="A29" s="7" t="s">
        <v>79</v>
      </c>
      <c r="B29" s="8" t="s">
        <v>80</v>
      </c>
      <c r="C29" s="8" t="s">
        <v>81</v>
      </c>
      <c r="D29" s="7">
        <v>1</v>
      </c>
      <c r="E29" s="7" t="s">
        <v>14</v>
      </c>
      <c r="F29" s="9">
        <v>35</v>
      </c>
      <c r="G29" s="9">
        <f>D29*F29</f>
        <v>35</v>
      </c>
      <c r="H29" s="8" t="s">
        <v>42</v>
      </c>
    </row>
    <row r="30" spans="1:8" x14ac:dyDescent="0.25">
      <c r="A30" s="4" t="s">
        <v>82</v>
      </c>
      <c r="B30" s="5" t="s">
        <v>83</v>
      </c>
      <c r="C30" s="5" t="s">
        <v>84</v>
      </c>
      <c r="D30" s="4">
        <v>1</v>
      </c>
      <c r="E30" s="4" t="s">
        <v>76</v>
      </c>
      <c r="F30" s="6">
        <v>16</v>
      </c>
      <c r="G30" s="6">
        <f>D30*F30</f>
        <v>16</v>
      </c>
      <c r="H30" s="5" t="s">
        <v>85</v>
      </c>
    </row>
    <row r="31" spans="1:8" x14ac:dyDescent="0.25">
      <c r="A31" s="7" t="s">
        <v>86</v>
      </c>
      <c r="B31" s="8" t="s">
        <v>87</v>
      </c>
      <c r="C31" s="8" t="s">
        <v>88</v>
      </c>
      <c r="D31" s="7">
        <v>1</v>
      </c>
      <c r="E31" s="7" t="s">
        <v>76</v>
      </c>
      <c r="F31" s="9">
        <v>10</v>
      </c>
      <c r="G31" s="9">
        <f>D31*F31</f>
        <v>10</v>
      </c>
      <c r="H31" s="8" t="s">
        <v>89</v>
      </c>
    </row>
    <row r="32" spans="1:8" x14ac:dyDescent="0.25">
      <c r="A32" s="4" t="s">
        <v>90</v>
      </c>
      <c r="B32" s="5" t="s">
        <v>91</v>
      </c>
      <c r="C32" s="5" t="s">
        <v>92</v>
      </c>
      <c r="D32" s="4">
        <v>1</v>
      </c>
      <c r="E32" s="4" t="s">
        <v>76</v>
      </c>
      <c r="F32" s="6">
        <v>15</v>
      </c>
      <c r="G32" s="6">
        <f>D32*F32</f>
        <v>15</v>
      </c>
      <c r="H32" s="5" t="s">
        <v>93</v>
      </c>
    </row>
    <row r="33" spans="1:8" ht="16.5" x14ac:dyDescent="0.25">
      <c r="A33" s="12" t="s">
        <v>94</v>
      </c>
      <c r="B33" s="13"/>
      <c r="C33" s="13"/>
      <c r="D33" s="13"/>
      <c r="E33" s="13"/>
      <c r="F33" s="13"/>
      <c r="G33" s="11">
        <f>G6+G7+G8+G9+G10+G11+G12+G14+G15+G16+G17+G18+G19+G20+G22+G24+G25+G26+G27+G29+G30+G31+G32</f>
        <v>351.5</v>
      </c>
      <c r="H33" s="10"/>
    </row>
  </sheetData>
  <mergeCells count="6">
    <mergeCell ref="A33:F33"/>
    <mergeCell ref="A21:H21"/>
    <mergeCell ref="A28:H28"/>
    <mergeCell ref="A13:H13"/>
    <mergeCell ref="A5:H5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Projekt-Gesamtkosten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Henz</cp:lastModifiedBy>
  <dcterms:created xsi:type="dcterms:W3CDTF">2026-08-23T20:11:42Z</dcterms:created>
  <dcterms:modified xsi:type="dcterms:W3CDTF">2026-08-23T20:15:08Z</dcterms:modified>
</cp:coreProperties>
</file>