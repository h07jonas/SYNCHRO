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s\OneDrive - DIG-IT Produktive Umgebung\Desktop\04_BÜP\SYNCHRO\Hardware\SYNCHRO_Booster\"/>
    </mc:Choice>
  </mc:AlternateContent>
  <xr:revisionPtr revIDLastSave="0" documentId="13_ncr:1_{F1306D33-7184-4F96-A0E8-F72974830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erialli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6" i="1"/>
</calcChain>
</file>

<file path=xl/sharedStrings.xml><?xml version="1.0" encoding="utf-8"?>
<sst xmlns="http://schemas.openxmlformats.org/spreadsheetml/2006/main" count="234" uniqueCount="118">
  <si>
    <t>Projekt:</t>
  </si>
  <si>
    <t>SYNCHRO</t>
  </si>
  <si>
    <t>Baugruppe:</t>
  </si>
  <si>
    <t>Booster</t>
  </si>
  <si>
    <t>Baugruppennr.:</t>
  </si>
  <si>
    <t>1.0</t>
  </si>
  <si>
    <t>Ersteller:</t>
  </si>
  <si>
    <t>Jonas Henz</t>
  </si>
  <si>
    <t>Revision:</t>
  </si>
  <si>
    <t>v1.0</t>
  </si>
  <si>
    <t>Status:</t>
  </si>
  <si>
    <t>Entwurf</t>
  </si>
  <si>
    <t>Anzahl Baugruppen:</t>
  </si>
  <si>
    <t>Datum:</t>
  </si>
  <si>
    <t>2026-08-25</t>
  </si>
  <si>
    <t>Reference</t>
  </si>
  <si>
    <t>Qty</t>
  </si>
  <si>
    <t>Bestellmenge</t>
  </si>
  <si>
    <t>Bestellnummer</t>
  </si>
  <si>
    <t>Lieferant</t>
  </si>
  <si>
    <t>Value</t>
  </si>
  <si>
    <t>Footprint</t>
  </si>
  <si>
    <t>Datasheet</t>
  </si>
  <si>
    <t>C1,C9,C10,C11,C12</t>
  </si>
  <si>
    <t>5</t>
  </si>
  <si>
    <t/>
  </si>
  <si>
    <t>77-VJ1206Y104KXXMT</t>
  </si>
  <si>
    <t>Mouser</t>
  </si>
  <si>
    <t>Capacitor_THT:C_Disc_D5.0mm_W2.5mm_P5.00mm</t>
  </si>
  <si>
    <t>C2,C3</t>
  </si>
  <si>
    <t>2</t>
  </si>
  <si>
    <t>667-EEU-FM1V471</t>
  </si>
  <si>
    <t>Capacitor_THT:CP_Radial_D10.0mm_P5.00mm</t>
  </si>
  <si>
    <t>C4</t>
  </si>
  <si>
    <t>1</t>
  </si>
  <si>
    <t>80-C317C103K1R</t>
  </si>
  <si>
    <t>C5,C6,C7</t>
  </si>
  <si>
    <t>3</t>
  </si>
  <si>
    <t>505-MKS20.022/63/5</t>
  </si>
  <si>
    <t>Capacitor_THT:C_Rect_L7.0mm_W2.5mm_P5.00mm</t>
  </si>
  <si>
    <t>C8</t>
  </si>
  <si>
    <t>667-EEU-HD1H100B</t>
  </si>
  <si>
    <t>D1,D2</t>
  </si>
  <si>
    <t>512-1N4148</t>
  </si>
  <si>
    <t>Diode_THT:D_DO-35_SOD27_P7.62mm_Horizontal</t>
  </si>
  <si>
    <t>https://assets.nexperia.com/documents/data-sheet/1N4148_1N4448.pdf</t>
  </si>
  <si>
    <t>D3</t>
  </si>
  <si>
    <t>625-SMAJ16CA-E3</t>
  </si>
  <si>
    <t>Diode_SMD:D_SMA-SMB_Universal_Handsoldering</t>
  </si>
  <si>
    <t>https://www.littelfuse.com/media?resourcetype=datasheets&amp;itemid=75e32973-b177-4ee3-a0ff-cedaf1abdb93&amp;filename=smaj-datasheet</t>
  </si>
  <si>
    <t>D4,D5</t>
  </si>
  <si>
    <t>vorhanden</t>
  </si>
  <si>
    <t>LED_THT:LED_D5.0mm</t>
  </si>
  <si>
    <t>F1</t>
  </si>
  <si>
    <t>652-MFR185</t>
  </si>
  <si>
    <t>SYNCHRO_Library:Fuse_Bourns_MF-R185</t>
  </si>
  <si>
    <t>IC1</t>
  </si>
  <si>
    <t>511-L6203</t>
  </si>
  <si>
    <t>SYNCHRO_Library:MULTIWATT-11</t>
  </si>
  <si>
    <t>651-1711725</t>
  </si>
  <si>
    <t>TerminalBlock_Phoenix:TerminalBlock_Phoenix_MKDS-1,5-2-5.08_1x02_P5.08mm_Horizontal</t>
  </si>
  <si>
    <t>J3</t>
  </si>
  <si>
    <t>306-B4BXHALFSN</t>
  </si>
  <si>
    <t>SYNCHRO_Library:JST_B4B-XH-A_LF__SN_</t>
  </si>
  <si>
    <t>J4</t>
  </si>
  <si>
    <t>Messpunkt</t>
  </si>
  <si>
    <t>PS1</t>
  </si>
  <si>
    <t>919-R-78E5.0-0.5</t>
  </si>
  <si>
    <t>SYNCHRO_Library:CONV_R-78E5.0-0.5</t>
  </si>
  <si>
    <t>R1</t>
  </si>
  <si>
    <t>756-LRMAP2512R10FT4</t>
  </si>
  <si>
    <t>Resistor_SMD:R_2512_6332Metric_Pad1.40x3.35mm_HandSolder</t>
  </si>
  <si>
    <t>LRMAP2512-R10FT4.</t>
  </si>
  <si>
    <t>R2,R4,R12,R13</t>
  </si>
  <si>
    <t>4</t>
  </si>
  <si>
    <t>Resistor_SMD:R_0805_2012Metric_Pad1.20x1.40mm_HandSolder</t>
  </si>
  <si>
    <t>R3</t>
  </si>
  <si>
    <t>R5,R9,R10</t>
  </si>
  <si>
    <t>R6</t>
  </si>
  <si>
    <t>R7,R8</t>
  </si>
  <si>
    <t>R11</t>
  </si>
  <si>
    <t>SW1</t>
  </si>
  <si>
    <t>Button_Switch_THT:SW_PUSH_6mm</t>
  </si>
  <si>
    <t>SW2</t>
  </si>
  <si>
    <t>651-1711738</t>
  </si>
  <si>
    <t>TerminalBlock_Phoenix:TerminalBlock_Phoenix_MKDS-3-3-5.08_1x03_P5.08mm_Horizontal</t>
  </si>
  <si>
    <t>U1</t>
  </si>
  <si>
    <t>595-LM393P</t>
  </si>
  <si>
    <t>SYNCHRO_Library:DIP762W50P254L977H451Q8</t>
  </si>
  <si>
    <t>U2,U3</t>
  </si>
  <si>
    <t>859-6N137</t>
  </si>
  <si>
    <t>U4</t>
  </si>
  <si>
    <t>771-LVC2G02DC125</t>
  </si>
  <si>
    <t>Package_SO:VSSOP-8_2.3x2mm_P0.5mm</t>
  </si>
  <si>
    <t>http://www.ti.com/lit/sg/scyt129e/scyt129e.pdf</t>
  </si>
  <si>
    <t>Gesamtpreis pro Baugruppe:</t>
  </si>
  <si>
    <t>Gesamtpreis Total:</t>
  </si>
  <si>
    <t>Gesamtmenge</t>
  </si>
  <si>
    <t>x</t>
  </si>
  <si>
    <t>Link</t>
  </si>
  <si>
    <t>https://www.mouser.ch/en/ProductDetail/Texas-Instruments/LM393P?qs=1K8%2FAQHn5WT5g4otW1rg%2Fg%3D%3D</t>
  </si>
  <si>
    <t>https://www.mouser.ch/en/ProductDetail/LITEON/6N137?qs=PByDJ0nQNwo227Fz%2Fg9MJA%3D%3D</t>
  </si>
  <si>
    <t>https://www.mouser.ch/en/ProductDetail/Nexperia/74LVC2G02DC125?qs=me8TqzrmIYUWhTHaIlO9Yw%3D%3D</t>
  </si>
  <si>
    <t>https://www.mouser.ch/en/ProductDetail/Vishay-Vitramon/VJ1206Y104KXXMT?qs=kcr0bk%252BxakAX%2FaEAFIHC%252Bw%3D%3D</t>
  </si>
  <si>
    <t>https://www.mouser.ch/en/ProductDetail/Panasonic-Industry/EEU-FM1V471?qs=4F1vP4lJYtGxZCTadysVhQ%3D%3D</t>
  </si>
  <si>
    <t>https://www.mouser.ch/en/ProductDetail/KEMET/C317C103K1R5TA?qs=wGiHhy9sa2PnfI8By%252BZbyA%3D%3D</t>
  </si>
  <si>
    <t>https://www.mouser.ch/en/ProductDetail/WIMA/MKS2C022201A00JSSD?qs=ISKKXg98%252B1kXZo2DGjqt1Q%3D%3D</t>
  </si>
  <si>
    <t>https://www.mouser.ch/en/ProductDetail/Panasonic-Industry/EEU-HD1H100B?qs=RSvpxwwo2RNa75zii2se%2FA%3D%3D</t>
  </si>
  <si>
    <t>https://www.mouser.ch/en/ProductDetail/onsemi/1N4148?qs=i4Fj9T%2FoRm8RMUhj5DeFQg%3D%3D</t>
  </si>
  <si>
    <t>https://www.mouser.ch/en/ProductDetail/Vishay-Semiconductors/SMAJ16CA-E3-61?qs=nE2yEqgPWzdYDq2yTw6oFA%3D%3D</t>
  </si>
  <si>
    <t>https://www.mouser.ch/en/ProductDetail/Bourns/MF-R185?qs=2bTIwLLrckQD2gvRTyQH8A%3D%3D</t>
  </si>
  <si>
    <t>https://www.mouser.ch/en/ProductDetail/STMicroelectronics/L6203?qs=gr8Zi5OG3MivQB7QgTa84w%3D%3D</t>
  </si>
  <si>
    <t>https://www.mouser.ch/en/ProductDetail/Phoenix-Contact/1711725?qs=F79NelsxgYFLEb9U5DotcA%3D%3D</t>
  </si>
  <si>
    <t>J1,J2</t>
  </si>
  <si>
    <t>https://www.mouser.ch/en/ProductDetail/JST-Commercial/B4B-XH-ALFSN?qs=cdbOS8ANM9CfC08d%252BywhFw%3D%3D</t>
  </si>
  <si>
    <t>https://www.mouser.ch/en/ProductDetail/RECOM-Power/R-78E5.0-0.5?qs=JeAkOuORR2UvBuiB2kZVZQ%3D%3D</t>
  </si>
  <si>
    <t>https://www.mouser.ch/en/ProductDetail/Welwyn-Components-TT-Electronics/LRMAP2512-R10FT4?qs=Yv8AqEUUgbmXlC7QmkzkdQ%3D%3D</t>
  </si>
  <si>
    <t>https://www.mouser.ch/en/ProductDetail/Phoenix-Contact/1711738?qs=F79NelsxgYGJoCQSSUE92w%3D%3D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</si>
</sst>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2" borderId="0" xfId="1" applyFill="1"/>
    <xf numFmtId="0" fontId="0" fillId="0" borderId="0" xfId="0" applyFill="1"/>
  </cellXfs>
  <cellStyles count="2">
    <cellStyle name="Link" xfId="1" builtinId="8"/>
    <cellStyle name="Standard" xfId="0" builtinId="0"/>
  </cellStyles>
  <dxfs count="0"/>
  <tableStyles count="1" defaultTableStyle="TableStyleMedium9" defaultPivotStyle="PivotStyleMedium4">
    <tableStyle name="Invisible" pivot="0" table="0" count="0" xr9:uid="{8CA2BF20-58F5-4186-8FF3-BFC27E0B33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h/en/ProductDetail/Panasonic-Industry/EEU-HD1H100B?qs=RSvpxwwo2RNa75zii2se%2FA%3D%3D" TargetMode="External"/><Relationship Id="rId13" Type="http://schemas.openxmlformats.org/officeDocument/2006/relationships/hyperlink" Target="https://www.mouser.ch/en/ProductDetail/Phoenix-Contact/1711725?qs=F79NelsxgYFLEb9U5DotcA%3D%3D" TargetMode="External"/><Relationship Id="rId3" Type="http://schemas.openxmlformats.org/officeDocument/2006/relationships/hyperlink" Target="https://www.mouser.ch/en/ProductDetail/Nexperia/74LVC2G02DC125?qs=me8TqzrmIYUWhTHaIlO9Yw%3D%3D" TargetMode="External"/><Relationship Id="rId7" Type="http://schemas.openxmlformats.org/officeDocument/2006/relationships/hyperlink" Target="https://www.mouser.ch/en/ProductDetail/WIMA/MKS2C022201A00JSSD?qs=ISKKXg98%252B1kXZo2DGjqt1Q%3D%3D" TargetMode="External"/><Relationship Id="rId12" Type="http://schemas.openxmlformats.org/officeDocument/2006/relationships/hyperlink" Target="https://www.mouser.ch/en/ProductDetail/STMicroelectronics/L6203?qs=gr8Zi5OG3MivQB7QgTa84w%3D%3D" TargetMode="External"/><Relationship Id="rId17" Type="http://schemas.openxmlformats.org/officeDocument/2006/relationships/hyperlink" Target="https://www.mouser.ch/en/ProductDetail/Phoenix-Contact/1711738?qs=F79NelsxgYGJoCQSSUE92w%3D%3D" TargetMode="External"/><Relationship Id="rId2" Type="http://schemas.openxmlformats.org/officeDocument/2006/relationships/hyperlink" Target="https://www.mouser.ch/en/ProductDetail/LITEON/6N137?qs=PByDJ0nQNwo227Fz%2Fg9MJA%3D%3D" TargetMode="External"/><Relationship Id="rId16" Type="http://schemas.openxmlformats.org/officeDocument/2006/relationships/hyperlink" Target="https://www.mouser.ch/en/ProductDetail/Welwyn-Components-TT-Electronics/LRMAP2512-R10FT4?qs=Yv8AqEUUgbmXlC7QmkzkdQ%3D%3D" TargetMode="External"/><Relationship Id="rId1" Type="http://schemas.openxmlformats.org/officeDocument/2006/relationships/hyperlink" Target="https://www.mouser.ch/en/ProductDetail/Texas-Instruments/LM393P?qs=1K8%2FAQHn5WT5g4otW1rg%2Fg%3D%3D" TargetMode="External"/><Relationship Id="rId6" Type="http://schemas.openxmlformats.org/officeDocument/2006/relationships/hyperlink" Target="https://www.mouser.ch/en/ProductDetail/KEMET/C317C103K1R5TA?qs=wGiHhy9sa2PnfI8By%252BZbyA%3D%3D" TargetMode="External"/><Relationship Id="rId11" Type="http://schemas.openxmlformats.org/officeDocument/2006/relationships/hyperlink" Target="https://www.mouser.ch/en/ProductDetail/Bourns/MF-R185?qs=2bTIwLLrckQD2gvRTyQH8A%3D%3D" TargetMode="External"/><Relationship Id="rId5" Type="http://schemas.openxmlformats.org/officeDocument/2006/relationships/hyperlink" Target="https://www.mouser.ch/en/ProductDetail/Panasonic-Industry/EEU-FM1V471?qs=4F1vP4lJYtGxZCTadysVhQ%3D%3D" TargetMode="External"/><Relationship Id="rId15" Type="http://schemas.openxmlformats.org/officeDocument/2006/relationships/hyperlink" Target="https://www.mouser.ch/en/ProductDetail/RECOM-Power/R-78E5.0-0.5?qs=JeAkOuORR2UvBuiB2kZVZQ%3D%3D" TargetMode="External"/><Relationship Id="rId10" Type="http://schemas.openxmlformats.org/officeDocument/2006/relationships/hyperlink" Target="https://www.mouser.ch/en/ProductDetail/Vishay-Semiconductors/SMAJ16CA-E3-61?qs=nE2yEqgPWzdYDq2yTw6oFA%3D%3D" TargetMode="External"/><Relationship Id="rId4" Type="http://schemas.openxmlformats.org/officeDocument/2006/relationships/hyperlink" Target="https://www.mouser.ch/en/ProductDetail/Vishay-Vitramon/VJ1206Y104KXXMT?qs=kcr0bk%252BxakAX%2FaEAFIHC%252Bw%3D%3D" TargetMode="External"/><Relationship Id="rId9" Type="http://schemas.openxmlformats.org/officeDocument/2006/relationships/hyperlink" Target="https://www.mouser.ch/en/ProductDetail/onsemi/1N4148?qs=i4Fj9T%2FoRm8RMUhj5DeFQg%3D%3D" TargetMode="External"/><Relationship Id="rId14" Type="http://schemas.openxmlformats.org/officeDocument/2006/relationships/hyperlink" Target="https://www.mouser.ch/en/ProductDetail/JST-Commercial/B4B-XH-ALFSN?qs=cdbOS8ANM9CfC08d%252BywhF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24" zoomScale="55" zoomScaleNormal="55" workbookViewId="0">
      <selection activeCell="F45" sqref="F45"/>
    </sheetView>
  </sheetViews>
  <sheetFormatPr baseColWidth="10" defaultRowHeight="15.5" x14ac:dyDescent="0.35"/>
  <cols>
    <col min="1" max="1" width="22.83203125" customWidth="1"/>
    <col min="2" max="2" width="14.83203125" customWidth="1"/>
    <col min="3" max="3" width="16.83203125" customWidth="1"/>
    <col min="4" max="4" width="23.83203125" customWidth="1"/>
    <col min="5" max="5" width="18.83203125" customWidth="1"/>
    <col min="6" max="6" width="60.83203125" customWidth="1"/>
    <col min="7" max="7" width="24.9140625" bestFit="1" customWidth="1"/>
    <col min="8" max="8" width="60.8320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10" x14ac:dyDescent="0.35">
      <c r="A3" t="s">
        <v>12</v>
      </c>
      <c r="B3">
        <v>6</v>
      </c>
      <c r="C3" t="s">
        <v>13</v>
      </c>
      <c r="D3" t="s">
        <v>14</v>
      </c>
    </row>
    <row r="5" spans="1:10" x14ac:dyDescent="0.35">
      <c r="A5" t="s">
        <v>15</v>
      </c>
      <c r="B5" t="s">
        <v>16</v>
      </c>
      <c r="C5" t="s">
        <v>97</v>
      </c>
      <c r="D5" s="1" t="s">
        <v>17</v>
      </c>
      <c r="E5" s="1" t="s">
        <v>18</v>
      </c>
      <c r="F5" s="1" t="s">
        <v>99</v>
      </c>
      <c r="G5" s="1" t="s">
        <v>19</v>
      </c>
      <c r="H5" t="s">
        <v>20</v>
      </c>
      <c r="I5" t="s">
        <v>21</v>
      </c>
      <c r="J5" t="s">
        <v>22</v>
      </c>
    </row>
    <row r="6" spans="1:10" x14ac:dyDescent="0.35">
      <c r="A6" t="s">
        <v>23</v>
      </c>
      <c r="B6" t="s">
        <v>24</v>
      </c>
      <c r="C6">
        <f>$B$3*B6</f>
        <v>30</v>
      </c>
      <c r="D6" s="1">
        <v>40</v>
      </c>
      <c r="E6" s="1" t="s">
        <v>26</v>
      </c>
      <c r="F6" s="2" t="s">
        <v>103</v>
      </c>
      <c r="G6" s="1" t="s">
        <v>27</v>
      </c>
      <c r="H6" t="s">
        <v>28</v>
      </c>
      <c r="I6" t="s">
        <v>28</v>
      </c>
      <c r="J6" t="s">
        <v>25</v>
      </c>
    </row>
    <row r="7" spans="1:10" x14ac:dyDescent="0.35">
      <c r="A7" t="s">
        <v>29</v>
      </c>
      <c r="B7" t="s">
        <v>30</v>
      </c>
      <c r="C7">
        <f t="shared" ref="C7:C16" si="0">$B$3*B7</f>
        <v>12</v>
      </c>
      <c r="D7" s="1">
        <v>15</v>
      </c>
      <c r="E7" s="1" t="s">
        <v>31</v>
      </c>
      <c r="F7" s="2" t="s">
        <v>104</v>
      </c>
      <c r="G7" s="1" t="s">
        <v>27</v>
      </c>
      <c r="H7" t="s">
        <v>32</v>
      </c>
      <c r="I7" t="s">
        <v>32</v>
      </c>
      <c r="J7" t="s">
        <v>25</v>
      </c>
    </row>
    <row r="8" spans="1:10" x14ac:dyDescent="0.35">
      <c r="A8" t="s">
        <v>33</v>
      </c>
      <c r="B8" t="s">
        <v>34</v>
      </c>
      <c r="C8">
        <f t="shared" si="0"/>
        <v>6</v>
      </c>
      <c r="D8" s="1">
        <v>10</v>
      </c>
      <c r="E8" s="1" t="s">
        <v>35</v>
      </c>
      <c r="F8" s="2" t="s">
        <v>105</v>
      </c>
      <c r="G8" s="1" t="s">
        <v>27</v>
      </c>
      <c r="H8" t="s">
        <v>28</v>
      </c>
      <c r="I8" t="s">
        <v>28</v>
      </c>
      <c r="J8" t="s">
        <v>25</v>
      </c>
    </row>
    <row r="9" spans="1:10" x14ac:dyDescent="0.35">
      <c r="A9" t="s">
        <v>36</v>
      </c>
      <c r="B9" t="s">
        <v>37</v>
      </c>
      <c r="C9">
        <f t="shared" si="0"/>
        <v>18</v>
      </c>
      <c r="D9" s="1">
        <v>20</v>
      </c>
      <c r="E9" s="1" t="s">
        <v>38</v>
      </c>
      <c r="F9" s="2" t="s">
        <v>106</v>
      </c>
      <c r="G9" s="1" t="s">
        <v>27</v>
      </c>
      <c r="H9" t="s">
        <v>39</v>
      </c>
      <c r="I9" t="s">
        <v>39</v>
      </c>
      <c r="J9" t="s">
        <v>25</v>
      </c>
    </row>
    <row r="10" spans="1:10" x14ac:dyDescent="0.35">
      <c r="A10" t="s">
        <v>40</v>
      </c>
      <c r="B10" t="s">
        <v>34</v>
      </c>
      <c r="C10">
        <f t="shared" si="0"/>
        <v>6</v>
      </c>
      <c r="D10" s="1">
        <v>10</v>
      </c>
      <c r="E10" s="1" t="s">
        <v>41</v>
      </c>
      <c r="F10" s="2" t="s">
        <v>107</v>
      </c>
      <c r="G10" s="1" t="s">
        <v>27</v>
      </c>
      <c r="H10" t="s">
        <v>39</v>
      </c>
      <c r="I10" t="s">
        <v>39</v>
      </c>
      <c r="J10" t="s">
        <v>25</v>
      </c>
    </row>
    <row r="11" spans="1:10" x14ac:dyDescent="0.35">
      <c r="A11" t="s">
        <v>42</v>
      </c>
      <c r="B11" t="s">
        <v>30</v>
      </c>
      <c r="C11">
        <f t="shared" si="0"/>
        <v>12</v>
      </c>
      <c r="D11" s="1">
        <v>20</v>
      </c>
      <c r="E11" s="1" t="s">
        <v>43</v>
      </c>
      <c r="F11" s="2" t="s">
        <v>108</v>
      </c>
      <c r="G11" s="1" t="s">
        <v>27</v>
      </c>
      <c r="H11" t="s">
        <v>44</v>
      </c>
      <c r="I11" t="s">
        <v>44</v>
      </c>
      <c r="J11" t="s">
        <v>45</v>
      </c>
    </row>
    <row r="12" spans="1:10" x14ac:dyDescent="0.35">
      <c r="A12" t="s">
        <v>46</v>
      </c>
      <c r="B12" t="s">
        <v>34</v>
      </c>
      <c r="C12">
        <f t="shared" si="0"/>
        <v>6</v>
      </c>
      <c r="D12" s="1">
        <v>10</v>
      </c>
      <c r="E12" s="1" t="s">
        <v>47</v>
      </c>
      <c r="F12" s="2" t="s">
        <v>109</v>
      </c>
      <c r="G12" s="1" t="s">
        <v>27</v>
      </c>
      <c r="H12" t="s">
        <v>48</v>
      </c>
      <c r="I12" t="s">
        <v>48</v>
      </c>
      <c r="J12" t="s">
        <v>49</v>
      </c>
    </row>
    <row r="13" spans="1:10" x14ac:dyDescent="0.35">
      <c r="A13" t="s">
        <v>50</v>
      </c>
      <c r="B13" t="s">
        <v>30</v>
      </c>
      <c r="C13">
        <f t="shared" si="0"/>
        <v>12</v>
      </c>
      <c r="D13" t="s">
        <v>98</v>
      </c>
      <c r="E13" t="s">
        <v>51</v>
      </c>
      <c r="G13" t="s">
        <v>25</v>
      </c>
      <c r="H13" t="s">
        <v>52</v>
      </c>
      <c r="I13" t="s">
        <v>52</v>
      </c>
      <c r="J13" t="s">
        <v>25</v>
      </c>
    </row>
    <row r="14" spans="1:10" x14ac:dyDescent="0.35">
      <c r="A14" t="s">
        <v>53</v>
      </c>
      <c r="B14" t="s">
        <v>34</v>
      </c>
      <c r="C14">
        <f t="shared" si="0"/>
        <v>6</v>
      </c>
      <c r="D14" s="1">
        <v>10</v>
      </c>
      <c r="E14" s="1" t="s">
        <v>54</v>
      </c>
      <c r="F14" s="2" t="s">
        <v>110</v>
      </c>
      <c r="G14" s="1" t="s">
        <v>27</v>
      </c>
      <c r="H14" t="s">
        <v>55</v>
      </c>
      <c r="I14" t="s">
        <v>55</v>
      </c>
      <c r="J14" t="s">
        <v>25</v>
      </c>
    </row>
    <row r="15" spans="1:10" x14ac:dyDescent="0.35">
      <c r="A15" t="s">
        <v>56</v>
      </c>
      <c r="B15" t="s">
        <v>34</v>
      </c>
      <c r="C15">
        <f t="shared" si="0"/>
        <v>6</v>
      </c>
      <c r="D15" s="1">
        <v>6</v>
      </c>
      <c r="E15" s="1" t="s">
        <v>57</v>
      </c>
      <c r="F15" s="2" t="s">
        <v>111</v>
      </c>
      <c r="G15" s="1" t="s">
        <v>27</v>
      </c>
      <c r="H15" t="s">
        <v>58</v>
      </c>
      <c r="I15" t="s">
        <v>58</v>
      </c>
      <c r="J15" t="s">
        <v>25</v>
      </c>
    </row>
    <row r="16" spans="1:10" x14ac:dyDescent="0.35">
      <c r="A16" t="s">
        <v>113</v>
      </c>
      <c r="B16">
        <v>2</v>
      </c>
      <c r="C16">
        <f t="shared" si="0"/>
        <v>12</v>
      </c>
      <c r="D16" s="1">
        <v>12</v>
      </c>
      <c r="E16" s="1" t="s">
        <v>59</v>
      </c>
      <c r="F16" s="2" t="s">
        <v>112</v>
      </c>
      <c r="G16" s="1" t="s">
        <v>27</v>
      </c>
      <c r="H16" t="s">
        <v>60</v>
      </c>
      <c r="I16" t="s">
        <v>60</v>
      </c>
      <c r="J16" t="s">
        <v>25</v>
      </c>
    </row>
    <row r="17" spans="1:10" x14ac:dyDescent="0.35">
      <c r="A17" t="s">
        <v>61</v>
      </c>
      <c r="B17" t="s">
        <v>34</v>
      </c>
      <c r="C17">
        <f t="shared" ref="C17:C31" si="1">$B$3*B17</f>
        <v>6</v>
      </c>
      <c r="D17" s="1">
        <v>20</v>
      </c>
      <c r="E17" s="1" t="s">
        <v>62</v>
      </c>
      <c r="F17" s="2" t="s">
        <v>114</v>
      </c>
      <c r="G17" s="1" t="s">
        <v>27</v>
      </c>
      <c r="H17" t="s">
        <v>63</v>
      </c>
      <c r="I17" t="s">
        <v>63</v>
      </c>
      <c r="J17" t="s">
        <v>25</v>
      </c>
    </row>
    <row r="18" spans="1:10" x14ac:dyDescent="0.35">
      <c r="A18" t="s">
        <v>64</v>
      </c>
      <c r="B18" t="s">
        <v>34</v>
      </c>
      <c r="C18">
        <f t="shared" si="1"/>
        <v>6</v>
      </c>
      <c r="D18" t="s">
        <v>98</v>
      </c>
      <c r="E18" t="s">
        <v>51</v>
      </c>
      <c r="G18" t="s">
        <v>25</v>
      </c>
      <c r="H18" t="s">
        <v>65</v>
      </c>
      <c r="I18" t="s">
        <v>65</v>
      </c>
      <c r="J18" t="s">
        <v>25</v>
      </c>
    </row>
    <row r="19" spans="1:10" x14ac:dyDescent="0.35">
      <c r="A19" t="s">
        <v>66</v>
      </c>
      <c r="B19" t="s">
        <v>34</v>
      </c>
      <c r="C19">
        <f t="shared" si="1"/>
        <v>6</v>
      </c>
      <c r="D19" s="1">
        <v>8</v>
      </c>
      <c r="E19" s="1" t="s">
        <v>67</v>
      </c>
      <c r="F19" s="2" t="s">
        <v>115</v>
      </c>
      <c r="G19" s="1" t="s">
        <v>27</v>
      </c>
      <c r="H19" t="s">
        <v>68</v>
      </c>
      <c r="I19" t="s">
        <v>68</v>
      </c>
      <c r="J19" t="s">
        <v>25</v>
      </c>
    </row>
    <row r="20" spans="1:10" x14ac:dyDescent="0.35">
      <c r="A20" t="s">
        <v>69</v>
      </c>
      <c r="B20" t="s">
        <v>34</v>
      </c>
      <c r="C20">
        <f t="shared" si="1"/>
        <v>6</v>
      </c>
      <c r="D20" s="1">
        <v>10</v>
      </c>
      <c r="E20" s="1" t="s">
        <v>70</v>
      </c>
      <c r="F20" s="2" t="s">
        <v>116</v>
      </c>
      <c r="G20" s="1" t="s">
        <v>27</v>
      </c>
      <c r="H20" t="s">
        <v>71</v>
      </c>
      <c r="I20" t="s">
        <v>71</v>
      </c>
      <c r="J20" t="s">
        <v>72</v>
      </c>
    </row>
    <row r="21" spans="1:10" x14ac:dyDescent="0.35">
      <c r="A21" t="s">
        <v>73</v>
      </c>
      <c r="B21" t="s">
        <v>74</v>
      </c>
      <c r="C21">
        <f t="shared" si="1"/>
        <v>24</v>
      </c>
      <c r="D21" t="s">
        <v>98</v>
      </c>
      <c r="E21" t="s">
        <v>51</v>
      </c>
      <c r="G21" t="s">
        <v>25</v>
      </c>
      <c r="H21" t="s">
        <v>75</v>
      </c>
      <c r="I21" t="s">
        <v>75</v>
      </c>
      <c r="J21" t="s">
        <v>25</v>
      </c>
    </row>
    <row r="22" spans="1:10" x14ac:dyDescent="0.35">
      <c r="A22" t="s">
        <v>76</v>
      </c>
      <c r="B22" t="s">
        <v>34</v>
      </c>
      <c r="C22">
        <f t="shared" si="1"/>
        <v>6</v>
      </c>
      <c r="D22" t="s">
        <v>98</v>
      </c>
      <c r="E22" t="s">
        <v>51</v>
      </c>
      <c r="G22" t="s">
        <v>25</v>
      </c>
      <c r="H22" t="s">
        <v>75</v>
      </c>
      <c r="I22" t="s">
        <v>75</v>
      </c>
      <c r="J22" t="s">
        <v>25</v>
      </c>
    </row>
    <row r="23" spans="1:10" x14ac:dyDescent="0.35">
      <c r="A23" t="s">
        <v>77</v>
      </c>
      <c r="B23" t="s">
        <v>37</v>
      </c>
      <c r="C23">
        <f t="shared" si="1"/>
        <v>18</v>
      </c>
      <c r="D23" t="s">
        <v>98</v>
      </c>
      <c r="E23" t="s">
        <v>51</v>
      </c>
      <c r="G23" t="s">
        <v>25</v>
      </c>
      <c r="H23" t="s">
        <v>75</v>
      </c>
      <c r="I23" t="s">
        <v>75</v>
      </c>
      <c r="J23" t="s">
        <v>25</v>
      </c>
    </row>
    <row r="24" spans="1:10" x14ac:dyDescent="0.35">
      <c r="A24" t="s">
        <v>78</v>
      </c>
      <c r="B24" t="s">
        <v>34</v>
      </c>
      <c r="C24">
        <f t="shared" si="1"/>
        <v>6</v>
      </c>
      <c r="D24" t="s">
        <v>98</v>
      </c>
      <c r="E24" t="s">
        <v>51</v>
      </c>
      <c r="G24" t="s">
        <v>25</v>
      </c>
      <c r="H24" t="s">
        <v>75</v>
      </c>
      <c r="I24" t="s">
        <v>75</v>
      </c>
      <c r="J24" t="s">
        <v>25</v>
      </c>
    </row>
    <row r="25" spans="1:10" x14ac:dyDescent="0.35">
      <c r="A25" t="s">
        <v>79</v>
      </c>
      <c r="B25" t="s">
        <v>30</v>
      </c>
      <c r="C25">
        <f t="shared" si="1"/>
        <v>12</v>
      </c>
      <c r="D25" t="s">
        <v>98</v>
      </c>
      <c r="E25" t="s">
        <v>51</v>
      </c>
      <c r="G25" t="s">
        <v>25</v>
      </c>
      <c r="H25" t="s">
        <v>75</v>
      </c>
      <c r="I25" t="s">
        <v>75</v>
      </c>
      <c r="J25" t="s">
        <v>25</v>
      </c>
    </row>
    <row r="26" spans="1:10" x14ac:dyDescent="0.35">
      <c r="A26" t="s">
        <v>80</v>
      </c>
      <c r="B26" t="s">
        <v>34</v>
      </c>
      <c r="C26">
        <f t="shared" si="1"/>
        <v>6</v>
      </c>
      <c r="D26" t="s">
        <v>98</v>
      </c>
      <c r="E26" t="s">
        <v>51</v>
      </c>
      <c r="G26" t="s">
        <v>25</v>
      </c>
      <c r="H26" t="s">
        <v>75</v>
      </c>
      <c r="I26" t="s">
        <v>75</v>
      </c>
      <c r="J26" t="s">
        <v>25</v>
      </c>
    </row>
    <row r="27" spans="1:10" x14ac:dyDescent="0.35">
      <c r="A27" t="s">
        <v>81</v>
      </c>
      <c r="B27" t="s">
        <v>34</v>
      </c>
      <c r="C27">
        <f t="shared" si="1"/>
        <v>6</v>
      </c>
      <c r="D27" t="s">
        <v>98</v>
      </c>
      <c r="E27" t="s">
        <v>51</v>
      </c>
      <c r="G27" t="s">
        <v>25</v>
      </c>
      <c r="H27" t="s">
        <v>82</v>
      </c>
      <c r="I27" t="s">
        <v>82</v>
      </c>
      <c r="J27" t="s">
        <v>25</v>
      </c>
    </row>
    <row r="28" spans="1:10" x14ac:dyDescent="0.35">
      <c r="A28" t="s">
        <v>83</v>
      </c>
      <c r="B28" t="s">
        <v>34</v>
      </c>
      <c r="C28">
        <f t="shared" si="1"/>
        <v>6</v>
      </c>
      <c r="D28" s="1">
        <v>6</v>
      </c>
      <c r="E28" s="1" t="s">
        <v>84</v>
      </c>
      <c r="F28" s="2" t="s">
        <v>117</v>
      </c>
      <c r="G28" s="1" t="s">
        <v>27</v>
      </c>
      <c r="H28" t="s">
        <v>85</v>
      </c>
      <c r="I28" t="s">
        <v>85</v>
      </c>
      <c r="J28" t="s">
        <v>25</v>
      </c>
    </row>
    <row r="29" spans="1:10" x14ac:dyDescent="0.35">
      <c r="A29" t="s">
        <v>86</v>
      </c>
      <c r="B29" t="s">
        <v>34</v>
      </c>
      <c r="C29">
        <f t="shared" si="1"/>
        <v>6</v>
      </c>
      <c r="D29" s="1">
        <v>10</v>
      </c>
      <c r="E29" s="1" t="s">
        <v>87</v>
      </c>
      <c r="F29" s="2" t="s">
        <v>100</v>
      </c>
      <c r="G29" s="1" t="s">
        <v>27</v>
      </c>
      <c r="H29" t="s">
        <v>88</v>
      </c>
      <c r="I29" t="s">
        <v>88</v>
      </c>
      <c r="J29" t="s">
        <v>25</v>
      </c>
    </row>
    <row r="30" spans="1:10" x14ac:dyDescent="0.35">
      <c r="A30" t="s">
        <v>89</v>
      </c>
      <c r="B30" t="s">
        <v>30</v>
      </c>
      <c r="C30">
        <f t="shared" si="1"/>
        <v>12</v>
      </c>
      <c r="D30" s="1">
        <v>20</v>
      </c>
      <c r="E30" s="1" t="s">
        <v>90</v>
      </c>
      <c r="F30" s="2" t="s">
        <v>101</v>
      </c>
      <c r="G30" s="1" t="s">
        <v>27</v>
      </c>
      <c r="H30" t="s">
        <v>88</v>
      </c>
      <c r="I30" t="s">
        <v>88</v>
      </c>
      <c r="J30" t="s">
        <v>25</v>
      </c>
    </row>
    <row r="31" spans="1:10" x14ac:dyDescent="0.35">
      <c r="A31" t="s">
        <v>91</v>
      </c>
      <c r="B31" t="s">
        <v>34</v>
      </c>
      <c r="C31">
        <f t="shared" si="1"/>
        <v>6</v>
      </c>
      <c r="D31" s="1">
        <v>10</v>
      </c>
      <c r="E31" s="1" t="s">
        <v>92</v>
      </c>
      <c r="F31" s="2" t="s">
        <v>102</v>
      </c>
      <c r="G31" s="1" t="s">
        <v>27</v>
      </c>
      <c r="H31" t="s">
        <v>93</v>
      </c>
      <c r="I31" t="s">
        <v>93</v>
      </c>
      <c r="J31" t="s">
        <v>94</v>
      </c>
    </row>
    <row r="34" spans="4:8" x14ac:dyDescent="0.35">
      <c r="D34" s="3"/>
      <c r="E34" s="3"/>
      <c r="G34" t="s">
        <v>95</v>
      </c>
      <c r="H34">
        <v>0</v>
      </c>
    </row>
    <row r="35" spans="4:8" x14ac:dyDescent="0.35">
      <c r="D35" s="3"/>
      <c r="E35" s="3"/>
      <c r="G35" t="s">
        <v>96</v>
      </c>
      <c r="H35">
        <v>0</v>
      </c>
    </row>
    <row r="36" spans="4:8" x14ac:dyDescent="0.35">
      <c r="D36" s="3"/>
      <c r="E36" s="3"/>
    </row>
    <row r="37" spans="4:8" x14ac:dyDescent="0.35">
      <c r="D37" s="3"/>
      <c r="E37" s="3"/>
    </row>
    <row r="38" spans="4:8" x14ac:dyDescent="0.35">
      <c r="D38" s="3"/>
      <c r="E38" s="3"/>
    </row>
    <row r="39" spans="4:8" x14ac:dyDescent="0.35">
      <c r="D39" s="3"/>
      <c r="E39" s="3"/>
    </row>
    <row r="40" spans="4:8" x14ac:dyDescent="0.35">
      <c r="D40" s="3"/>
      <c r="E40" s="3"/>
    </row>
    <row r="41" spans="4:8" x14ac:dyDescent="0.35">
      <c r="D41" s="3"/>
      <c r="E41" s="3"/>
    </row>
    <row r="42" spans="4:8" x14ac:dyDescent="0.35">
      <c r="D42" s="3"/>
      <c r="E42" s="3"/>
    </row>
    <row r="43" spans="4:8" x14ac:dyDescent="0.35">
      <c r="D43" s="3"/>
      <c r="E43" s="3"/>
    </row>
    <row r="44" spans="4:8" x14ac:dyDescent="0.35">
      <c r="D44" s="3"/>
      <c r="E44" s="3"/>
    </row>
    <row r="45" spans="4:8" x14ac:dyDescent="0.35">
      <c r="D45" s="3"/>
      <c r="E45" s="3"/>
    </row>
    <row r="46" spans="4:8" x14ac:dyDescent="0.35">
      <c r="D46" s="3"/>
      <c r="E46" s="3"/>
    </row>
    <row r="47" spans="4:8" x14ac:dyDescent="0.35">
      <c r="D47" s="3"/>
      <c r="E47" s="3"/>
    </row>
    <row r="48" spans="4:8" x14ac:dyDescent="0.35">
      <c r="D48" s="3"/>
      <c r="E48" s="3"/>
    </row>
    <row r="49" spans="4:5" x14ac:dyDescent="0.35">
      <c r="D49" s="3"/>
      <c r="E49" s="3"/>
    </row>
    <row r="50" spans="4:5" x14ac:dyDescent="0.35">
      <c r="D50" s="3"/>
      <c r="E50" s="3"/>
    </row>
    <row r="51" spans="4:5" x14ac:dyDescent="0.35">
      <c r="D51" s="3"/>
      <c r="E51" s="3"/>
    </row>
  </sheetData>
  <hyperlinks>
    <hyperlink ref="F29" r:id="rId1" xr:uid="{0A8DAB46-FB9B-4F7B-A55E-B7FCFAD51833}"/>
    <hyperlink ref="F30" r:id="rId2" xr:uid="{0980E79F-FBF3-42BB-9DE0-BE508B2D0D68}"/>
    <hyperlink ref="F31" r:id="rId3" xr:uid="{D1690A06-7338-4AEF-A65E-7F1683906339}"/>
    <hyperlink ref="F6" r:id="rId4" xr:uid="{81A50C11-649E-439F-81F3-C1FF31814EC5}"/>
    <hyperlink ref="F7" r:id="rId5" xr:uid="{6F9511FF-E870-4E0A-8D34-3F3AA047A04B}"/>
    <hyperlink ref="F8" r:id="rId6" xr:uid="{5989DEFD-C839-470E-95A7-9E51C0091C03}"/>
    <hyperlink ref="F9" r:id="rId7" xr:uid="{07EAA88D-ED39-48AA-BFC8-2346E7635374}"/>
    <hyperlink ref="F10" r:id="rId8" xr:uid="{925B90A7-F5C1-42F1-90AA-937DAF19DD64}"/>
    <hyperlink ref="F11" r:id="rId9" xr:uid="{D4D5C0BE-0156-415F-84DF-FF38F66BE6AE}"/>
    <hyperlink ref="F12" r:id="rId10" xr:uid="{98163EB9-9FD8-4BB8-8DA7-A9A076C528B6}"/>
    <hyperlink ref="F14" r:id="rId11" xr:uid="{F62C3FDB-8593-4540-ABD6-49F26A3AF0A0}"/>
    <hyperlink ref="F15" r:id="rId12" xr:uid="{84DCA40F-7B7B-40EB-87E8-ABF759DAEBDC}"/>
    <hyperlink ref="F16" r:id="rId13" xr:uid="{BD827227-6A6A-4898-802F-7098A8B54660}"/>
    <hyperlink ref="F17" r:id="rId14" xr:uid="{5EBE495F-17AB-4142-AAE9-3109BE74CE0C}"/>
    <hyperlink ref="F19" r:id="rId15" xr:uid="{54B3042E-16AA-4EA7-B7E1-FF679E633297}"/>
    <hyperlink ref="F20" r:id="rId16" xr:uid="{829CE8B6-6526-44C6-907C-CF0EFB03F9C0}"/>
    <hyperlink ref="F28" r:id="rId17" xr:uid="{60E1A3ED-09AA-4DCE-A604-94A25059BA44}"/>
  </hyperlinks>
  <pageMargins left="0.7" right="0.7" top="0.78740157499999996" bottom="0.78740157499999996" header="0.3" footer="0.3"/>
  <ignoredErrors>
    <ignoredError sqref="A1:H4 A34:C35 A6:B6 A7:B15 A5:B5 A33:E33 G33:H33 F34:H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Henz</cp:lastModifiedBy>
  <dcterms:modified xsi:type="dcterms:W3CDTF">2026-08-25T12:45:21Z</dcterms:modified>
</cp:coreProperties>
</file>