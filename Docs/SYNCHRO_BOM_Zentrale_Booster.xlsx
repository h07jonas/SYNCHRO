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CHRO Zentrale" sheetId="1" state="visible" r:id="rId1"/>
    <sheet xmlns:r="http://schemas.openxmlformats.org/officeDocument/2006/relationships" name="SYNCHRO Bo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CHF&quot;"/>
  </numFmts>
  <fonts count="6">
    <font>
      <name val="Calibri"/>
      <family val="2"/>
      <color theme="1"/>
      <sz val="11"/>
      <scheme val="minor"/>
    </font>
    <font>
      <name val="Segoe UI"/>
      <b val="1"/>
      <color rgb="001F4E79"/>
      <sz val="13"/>
    </font>
    <font>
      <name val="Segoe UI"/>
      <i val="1"/>
      <color rgb="00595959"/>
      <sz val="9.5"/>
    </font>
    <font>
      <name val="Segoe UI"/>
      <b val="1"/>
      <color rgb="00FFFFFF"/>
      <sz val="9.5"/>
    </font>
    <font>
      <name val="Segoe UI"/>
      <sz val="9.5"/>
    </font>
    <font>
      <name val="Segoe U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5" fillId="5" borderId="3" applyAlignment="1" pivotButton="0" quotePrefix="0" xfId="0">
      <alignment horizontal="right" vertical="center"/>
    </xf>
    <xf numFmtId="0" fontId="0" fillId="5" borderId="3" pivotButton="0" quotePrefix="0" xfId="0"/>
    <xf numFmtId="0" fontId="5" fillId="5" borderId="3" applyAlignment="1" pivotButton="0" quotePrefix="0" xfId="0">
      <alignment horizontal="center" vertical="center"/>
    </xf>
    <xf numFmtId="164" fontId="5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16" customWidth="1" min="3" max="3"/>
    <col width="25" customWidth="1" min="4" max="4"/>
    <col width="60" customWidth="1" min="5" max="5"/>
    <col width="26" customWidth="1" min="6" max="6"/>
    <col width="24" customWidth="1" min="7" max="7"/>
    <col width="26" customWidth="1" min="8" max="8"/>
    <col width="20" customWidth="1" min="9" max="9"/>
    <col width="21" customWidth="1" min="10" max="10"/>
    <col width="13" customWidth="1" min="11" max="11"/>
  </cols>
  <sheetData>
    <row r="1">
      <c r="A1" s="1" t="inlineStr">
        <is>
          <t>SYNCHRO Zentrale – Modul-Stückliste</t>
        </is>
      </c>
    </row>
    <row r="2">
      <c r="A2" s="2" t="inlineStr">
        <is>
          <t>Projekt: SYNCHRO Zentrale | 0805 SMD-Widerstände zusammengefasst | Mouser Bestellnummern &amp; Richtpreise</t>
        </is>
      </c>
    </row>
    <row r="3"/>
    <row r="4">
      <c r="A4" s="3" t="inlineStr">
        <is>
          <t>Pos</t>
        </is>
      </c>
      <c r="B4" s="3" t="inlineStr">
        <is>
          <t>Designator</t>
        </is>
      </c>
      <c r="C4" s="3" t="inlineStr">
        <is>
          <t>Menge</t>
        </is>
      </c>
      <c r="D4" s="3" t="inlineStr">
        <is>
          <t>Wert / Typ</t>
        </is>
      </c>
      <c r="E4" s="3" t="inlineStr">
        <is>
          <t>Beschreibung</t>
        </is>
      </c>
      <c r="F4" s="3" t="inlineStr">
        <is>
          <t>Bauform / Gehäuse</t>
        </is>
      </c>
      <c r="G4" s="3" t="inlineStr">
        <is>
          <t>Mouser Bestellnummer</t>
        </is>
      </c>
      <c r="H4" s="3" t="inlineStr">
        <is>
          <t>Hersteller-Teilenummer</t>
        </is>
      </c>
      <c r="I4" s="3" t="inlineStr">
        <is>
          <t>Stückpreis (CHF)</t>
        </is>
      </c>
      <c r="J4" s="3" t="inlineStr">
        <is>
          <t>Gesamtpreis (CHF)</t>
        </is>
      </c>
      <c r="K4" s="3" t="inlineStr">
        <is>
          <t>Lieferant</t>
        </is>
      </c>
    </row>
    <row r="5">
      <c r="A5" s="4" t="n">
        <v>1</v>
      </c>
      <c r="B5" s="5" t="inlineStr">
        <is>
          <t>U1</t>
        </is>
      </c>
      <c r="C5" s="4" t="n">
        <v>1</v>
      </c>
      <c r="D5" s="5" t="inlineStr">
        <is>
          <t>ESP32-S3-WROOM-1-N8R8</t>
        </is>
      </c>
      <c r="E5" s="5" t="inlineStr">
        <is>
          <t>Mikrocontroller Modul Wi-Fi / BLE (8MB Flash, 8MB PSRAM)</t>
        </is>
      </c>
      <c r="F5" s="5" t="inlineStr">
        <is>
          <t>SMD Modul</t>
        </is>
      </c>
      <c r="G5" s="5" t="inlineStr">
        <is>
          <t>356-EP32S3WROOM1N8R8</t>
        </is>
      </c>
      <c r="H5" s="5" t="inlineStr">
        <is>
          <t>ESP32-S3-WROOM-1-N8R8</t>
        </is>
      </c>
      <c r="I5" s="6" t="n">
        <v>5.4</v>
      </c>
      <c r="J5" s="6">
        <f>C5*I5</f>
        <v/>
      </c>
      <c r="K5" s="4" t="inlineStr">
        <is>
          <t>Mouser</t>
        </is>
      </c>
    </row>
    <row r="6">
      <c r="A6" s="7" t="n">
        <v>2</v>
      </c>
      <c r="B6" s="8" t="inlineStr">
        <is>
          <t>IC1, IC2</t>
        </is>
      </c>
      <c r="C6" s="7" t="n">
        <v>2</v>
      </c>
      <c r="D6" s="8" t="inlineStr">
        <is>
          <t>MC74VHCT541ADWR2G</t>
        </is>
      </c>
      <c r="E6" s="8" t="inlineStr">
        <is>
          <t>Octal Bus Buffer / Line Driver Non-Inverting 3-State</t>
        </is>
      </c>
      <c r="F6" s="8" t="inlineStr">
        <is>
          <t>SOIC-20</t>
        </is>
      </c>
      <c r="G6" s="8" t="inlineStr">
        <is>
          <t>863-C74VHCT541ADWR2G</t>
        </is>
      </c>
      <c r="H6" s="8" t="inlineStr">
        <is>
          <t>MC74VHCT541ADWR2G</t>
        </is>
      </c>
      <c r="I6" s="9" t="n">
        <v>0.96</v>
      </c>
      <c r="J6" s="9">
        <f>C6*I6</f>
        <v/>
      </c>
      <c r="K6" s="7" t="inlineStr">
        <is>
          <t>Mouser</t>
        </is>
      </c>
    </row>
    <row r="7">
      <c r="A7" s="4" t="n">
        <v>3</v>
      </c>
      <c r="B7" s="5" t="inlineStr">
        <is>
          <t>IC3</t>
        </is>
      </c>
      <c r="C7" s="4" t="n">
        <v>1</v>
      </c>
      <c r="D7" s="5" t="inlineStr">
        <is>
          <t>AZ1117CH-3.3TRG1</t>
        </is>
      </c>
      <c r="E7" s="5" t="inlineStr">
        <is>
          <t>LDO Spannungsregler 3.3V 1A</t>
        </is>
      </c>
      <c r="F7" s="5" t="inlineStr">
        <is>
          <t>SOT-223</t>
        </is>
      </c>
      <c r="G7" s="5" t="inlineStr">
        <is>
          <t>621-AZ1117CH-3.3TRG1</t>
        </is>
      </c>
      <c r="H7" s="5" t="inlineStr">
        <is>
          <t>AZ1117CH-3.3TRG1</t>
        </is>
      </c>
      <c r="I7" s="6" t="n">
        <v>0.48</v>
      </c>
      <c r="J7" s="6">
        <f>C7*I7</f>
        <v/>
      </c>
      <c r="K7" s="4" t="inlineStr">
        <is>
          <t>Mouser</t>
        </is>
      </c>
    </row>
    <row r="8">
      <c r="A8" s="7" t="n">
        <v>4</v>
      </c>
      <c r="B8" s="8" t="inlineStr">
        <is>
          <t>PS1</t>
        </is>
      </c>
      <c r="C8" s="7" t="n">
        <v>1</v>
      </c>
      <c r="D8" s="8" t="inlineStr">
        <is>
          <t>R-78E3.3-0.5</t>
        </is>
      </c>
      <c r="E8" s="8" t="inlineStr">
        <is>
          <t>DC/DC-Schaltregler 3.3V 500mA SIP-3</t>
        </is>
      </c>
      <c r="F8" s="8" t="inlineStr">
        <is>
          <t>SIP-3 THT</t>
        </is>
      </c>
      <c r="G8" s="8" t="inlineStr">
        <is>
          <t>919-R-78E3.3-0.5</t>
        </is>
      </c>
      <c r="H8" s="8" t="inlineStr">
        <is>
          <t>R-78E3.3-0.5</t>
        </is>
      </c>
      <c r="I8" s="9" t="n">
        <v>2.65</v>
      </c>
      <c r="J8" s="9">
        <f>C8*I8</f>
        <v/>
      </c>
      <c r="K8" s="7" t="inlineStr">
        <is>
          <t>Mouser</t>
        </is>
      </c>
    </row>
    <row r="9">
      <c r="A9" s="4" t="n">
        <v>5</v>
      </c>
      <c r="B9" s="5" t="inlineStr">
        <is>
          <t>PS2</t>
        </is>
      </c>
      <c r="C9" s="4" t="n">
        <v>1</v>
      </c>
      <c r="D9" s="5" t="inlineStr">
        <is>
          <t>R-78E5.0-1.0</t>
        </is>
      </c>
      <c r="E9" s="5" t="inlineStr">
        <is>
          <t>DC/DC-Schaltregler 5.0V 1.0A SIP-3</t>
        </is>
      </c>
      <c r="F9" s="5" t="inlineStr">
        <is>
          <t>SIP-3 THT</t>
        </is>
      </c>
      <c r="G9" s="5" t="inlineStr">
        <is>
          <t>919-R-78E5.0-1.0</t>
        </is>
      </c>
      <c r="H9" s="5" t="inlineStr">
        <is>
          <t>R-78E5.0-1.0</t>
        </is>
      </c>
      <c r="I9" s="6" t="n">
        <v>3.41</v>
      </c>
      <c r="J9" s="6">
        <f>C9*I9</f>
        <v/>
      </c>
      <c r="K9" s="4" t="inlineStr">
        <is>
          <t>Mouser</t>
        </is>
      </c>
    </row>
    <row r="10">
      <c r="A10" s="7" t="n">
        <v>6</v>
      </c>
      <c r="B10" s="8" t="inlineStr">
        <is>
          <t>D1</t>
        </is>
      </c>
      <c r="C10" s="7" t="n">
        <v>1</v>
      </c>
      <c r="D10" s="8" t="inlineStr">
        <is>
          <t>PMEG3010ER</t>
        </is>
      </c>
      <c r="E10" s="8" t="inlineStr">
        <is>
          <t>Schottky-Diode 30V 1A Low Vf</t>
        </is>
      </c>
      <c r="F10" s="8" t="inlineStr">
        <is>
          <t>SOD-123W (CFP3)</t>
        </is>
      </c>
      <c r="G10" s="8" t="inlineStr">
        <is>
          <t>771-PMEG3010ER-QX</t>
        </is>
      </c>
      <c r="H10" s="8" t="inlineStr">
        <is>
          <t>PMEG3010ER,115</t>
        </is>
      </c>
      <c r="I10" s="9" t="n">
        <v>0.38</v>
      </c>
      <c r="J10" s="9">
        <f>C10*I10</f>
        <v/>
      </c>
      <c r="K10" s="7" t="inlineStr">
        <is>
          <t>Mouser</t>
        </is>
      </c>
    </row>
    <row r="11">
      <c r="A11" s="4" t="n">
        <v>7</v>
      </c>
      <c r="B11" s="5" t="inlineStr">
        <is>
          <t>D2, D3, D4, D5, D6, D7</t>
        </is>
      </c>
      <c r="C11" s="4" t="n">
        <v>6</v>
      </c>
      <c r="D11" s="5" t="inlineStr">
        <is>
          <t>LED</t>
        </is>
      </c>
      <c r="E11" s="5" t="inlineStr">
        <is>
          <t>Standard Signal-LED 5mm THT</t>
        </is>
      </c>
      <c r="F11" s="5" t="inlineStr">
        <is>
          <t>LED 5.0mm Radial</t>
        </is>
      </c>
      <c r="G11" s="5" t="inlineStr">
        <is>
          <t>604-WP7113GD</t>
        </is>
      </c>
      <c r="H11" s="5" t="inlineStr">
        <is>
          <t>WP7113GD</t>
        </is>
      </c>
      <c r="I11" s="6" t="n">
        <v>0.28</v>
      </c>
      <c r="J11" s="6">
        <f>C11*I11</f>
        <v/>
      </c>
      <c r="K11" s="4" t="inlineStr">
        <is>
          <t>Mouser</t>
        </is>
      </c>
    </row>
    <row r="12">
      <c r="A12" s="7" t="n">
        <v>8</v>
      </c>
      <c r="B12" s="8" t="inlineStr">
        <is>
          <t>C1, C12</t>
        </is>
      </c>
      <c r="C12" s="7" t="n">
        <v>2</v>
      </c>
      <c r="D12" s="8" t="inlineStr">
        <is>
          <t>22uF</t>
        </is>
      </c>
      <c r="E12" s="8" t="inlineStr">
        <is>
          <t>Keramikkondensator 22µF 16V/25V X7R</t>
        </is>
      </c>
      <c r="F12" s="8" t="inlineStr">
        <is>
          <t>1210 SMD</t>
        </is>
      </c>
      <c r="G12" s="8" t="inlineStr">
        <is>
          <t>963-MAAST32MSB7226MP</t>
        </is>
      </c>
      <c r="H12" s="8" t="inlineStr">
        <is>
          <t>EMK325B7226MM-TR</t>
        </is>
      </c>
      <c r="I12" s="9" t="n">
        <v>0.85</v>
      </c>
      <c r="J12" s="9">
        <f>C12*I12</f>
        <v/>
      </c>
      <c r="K12" s="7" t="inlineStr">
        <is>
          <t>Mouser</t>
        </is>
      </c>
    </row>
    <row r="13">
      <c r="A13" s="4" t="n">
        <v>9</v>
      </c>
      <c r="B13" s="5" t="inlineStr">
        <is>
          <t>C2, C4, C7, C8</t>
        </is>
      </c>
      <c r="C13" s="4" t="n">
        <v>4</v>
      </c>
      <c r="D13" s="5" t="inlineStr">
        <is>
          <t>100nF / 0.1uF</t>
        </is>
      </c>
      <c r="E13" s="5" t="inlineStr">
        <is>
          <t>Keramikkondensator 100nF 50V X7R</t>
        </is>
      </c>
      <c r="F13" s="5" t="inlineStr">
        <is>
          <t>1206 SMD</t>
        </is>
      </c>
      <c r="G13" s="5" t="inlineStr">
        <is>
          <t>77-VJ1206Y104KXXMT</t>
        </is>
      </c>
      <c r="H13" s="5" t="inlineStr">
        <is>
          <t>VJ1206Y104KXXMT</t>
        </is>
      </c>
      <c r="I13" s="6" t="n">
        <v>0.22</v>
      </c>
      <c r="J13" s="6">
        <f>C13*I13</f>
        <v/>
      </c>
      <c r="K13" s="4" t="inlineStr">
        <is>
          <t>Mouser</t>
        </is>
      </c>
    </row>
    <row r="14">
      <c r="A14" s="7" t="n">
        <v>10</v>
      </c>
      <c r="B14" s="8" t="inlineStr">
        <is>
          <t>C3</t>
        </is>
      </c>
      <c r="C14" s="7" t="n">
        <v>1</v>
      </c>
      <c r="D14" s="8" t="inlineStr">
        <is>
          <t>1uF</t>
        </is>
      </c>
      <c r="E14" s="8" t="inlineStr">
        <is>
          <t>Keramikkondensator 1µF 50V X7R</t>
        </is>
      </c>
      <c r="F14" s="8" t="inlineStr">
        <is>
          <t>1206 SMD</t>
        </is>
      </c>
      <c r="G14" s="8" t="inlineStr">
        <is>
          <t>77-VJ1206Y105KLXAJ32</t>
        </is>
      </c>
      <c r="H14" s="8" t="inlineStr">
        <is>
          <t>VJ1206Y105KLXAJ32</t>
        </is>
      </c>
      <c r="I14" s="9" t="n">
        <v>0.35</v>
      </c>
      <c r="J14" s="9">
        <f>C14*I14</f>
        <v/>
      </c>
      <c r="K14" s="7" t="inlineStr">
        <is>
          <t>Mouser</t>
        </is>
      </c>
    </row>
    <row r="15">
      <c r="A15" s="4" t="n">
        <v>11</v>
      </c>
      <c r="B15" s="5" t="inlineStr">
        <is>
          <t>C5, C6, C9, C10, C11</t>
        </is>
      </c>
      <c r="C15" s="4" t="n">
        <v>5</v>
      </c>
      <c r="D15" s="5" t="inlineStr">
        <is>
          <t>10uF</t>
        </is>
      </c>
      <c r="E15" s="5" t="inlineStr">
        <is>
          <t>Keramikkondensator 10µF 25V X7R</t>
        </is>
      </c>
      <c r="F15" s="5" t="inlineStr">
        <is>
          <t>1210 SMD</t>
        </is>
      </c>
      <c r="G15" s="5" t="inlineStr">
        <is>
          <t>963-TMK325AB7106KMPR</t>
        </is>
      </c>
      <c r="H15" s="5" t="inlineStr">
        <is>
          <t>TMK325AB7106KMPR</t>
        </is>
      </c>
      <c r="I15" s="6" t="n">
        <v>0.65</v>
      </c>
      <c r="J15" s="6">
        <f>C15*I15</f>
        <v/>
      </c>
      <c r="K15" s="4" t="inlineStr">
        <is>
          <t>Mouser</t>
        </is>
      </c>
    </row>
    <row r="16">
      <c r="A16" s="7" t="n">
        <v>12</v>
      </c>
      <c r="B16" s="8" t="inlineStr">
        <is>
          <t>R1 .. R12</t>
        </is>
      </c>
      <c r="C16" s="7" t="n">
        <v>12</v>
      </c>
      <c r="D16" s="8" t="inlineStr">
        <is>
          <t>0805 SMD Widerstände</t>
        </is>
      </c>
      <c r="E16" s="8" t="inlineStr">
        <is>
          <t>SMD-Widerstände 0805 1% (6x 10k, 5x 220R, 1x 470R)</t>
        </is>
      </c>
      <c r="F16" s="8" t="inlineStr">
        <is>
          <t>0805 SMD</t>
        </is>
      </c>
      <c r="G16" s="8" t="inlineStr">
        <is>
          <t>603-RC0805FR-Serie</t>
        </is>
      </c>
      <c r="H16" s="8" t="inlineStr">
        <is>
          <t>RC0805FR-Serie</t>
        </is>
      </c>
      <c r="I16" s="9" t="n">
        <v>0.08</v>
      </c>
      <c r="J16" s="9">
        <f>C16*I16</f>
        <v/>
      </c>
      <c r="K16" s="7" t="inlineStr">
        <is>
          <t>Mouser</t>
        </is>
      </c>
    </row>
    <row r="17">
      <c r="A17" s="4" t="n">
        <v>13</v>
      </c>
      <c r="B17" s="5" t="inlineStr">
        <is>
          <t>SW1, SW2, SW3, SW4, SW5, SW6</t>
        </is>
      </c>
      <c r="C17" s="4" t="n">
        <v>6</v>
      </c>
      <c r="D17" s="5" t="inlineStr">
        <is>
          <t>SW_Push</t>
        </is>
      </c>
      <c r="E17" s="5" t="inlineStr">
        <is>
          <t>Kurzhubtaster 6x6mm THT H=4.3mm/5mm</t>
        </is>
      </c>
      <c r="F17" s="5" t="inlineStr">
        <is>
          <t>Button 6x6mm THT</t>
        </is>
      </c>
      <c r="G17" s="5" t="inlineStr">
        <is>
          <t>688-SKHHBY004A</t>
        </is>
      </c>
      <c r="H17" s="5" t="inlineStr">
        <is>
          <t>SKHHBY004A</t>
        </is>
      </c>
      <c r="I17" s="6" t="n">
        <v>0.32</v>
      </c>
      <c r="J17" s="6">
        <f>C17*I17</f>
        <v/>
      </c>
      <c r="K17" s="4" t="inlineStr">
        <is>
          <t>Mouser</t>
        </is>
      </c>
    </row>
    <row r="18">
      <c r="A18" s="7" t="n">
        <v>14</v>
      </c>
      <c r="B18" s="8" t="inlineStr">
        <is>
          <t>J1</t>
        </is>
      </c>
      <c r="C18" s="7" t="n">
        <v>1</v>
      </c>
      <c r="D18" s="8" t="inlineStr">
        <is>
          <t>GSB22120RSKEU</t>
        </is>
      </c>
      <c r="E18" s="8" t="inlineStr">
        <is>
          <t>USB 2.0 Typ-B Buchse Printmontage</t>
        </is>
      </c>
      <c r="F18" s="8" t="inlineStr">
        <is>
          <t>USB-B THT</t>
        </is>
      </c>
      <c r="G18" s="8" t="inlineStr">
        <is>
          <t>523-GSB22120RSKEU</t>
        </is>
      </c>
      <c r="H18" s="8" t="inlineStr">
        <is>
          <t>GSB22120RSKEU</t>
        </is>
      </c>
      <c r="I18" s="9" t="n">
        <v>1.45</v>
      </c>
      <c r="J18" s="9">
        <f>C18*I18</f>
        <v/>
      </c>
      <c r="K18" s="7" t="inlineStr">
        <is>
          <t>Mouser</t>
        </is>
      </c>
    </row>
    <row r="19">
      <c r="A19" s="4" t="n">
        <v>15</v>
      </c>
      <c r="B19" s="5" t="inlineStr">
        <is>
          <t>J2, J3, J4, J5, J6, J7, J8, J9</t>
        </is>
      </c>
      <c r="C19" s="4" t="n">
        <v>8</v>
      </c>
      <c r="D19" s="5" t="inlineStr">
        <is>
          <t>B4B-XH-A_LF__SN_</t>
        </is>
      </c>
      <c r="E19" s="5" t="inlineStr">
        <is>
          <t>JST XH Stiftwanne 4-polig RM 2.50mm</t>
        </is>
      </c>
      <c r="F19" s="5" t="inlineStr">
        <is>
          <t>JST XH 4-Pin RM 2.50mm</t>
        </is>
      </c>
      <c r="G19" s="5" t="inlineStr">
        <is>
          <t>306-B4BXHALFSN</t>
        </is>
      </c>
      <c r="H19" s="5" t="inlineStr">
        <is>
          <t>B4B-XH-A(LF)(SN)</t>
        </is>
      </c>
      <c r="I19" s="6" t="n">
        <v>0.25</v>
      </c>
      <c r="J19" s="6">
        <f>C19*I19</f>
        <v/>
      </c>
      <c r="K19" s="4" t="inlineStr">
        <is>
          <t>Mouser</t>
        </is>
      </c>
    </row>
    <row r="20">
      <c r="A20" s="7" t="n">
        <v>16</v>
      </c>
      <c r="B20" s="8" t="inlineStr">
        <is>
          <t>J10</t>
        </is>
      </c>
      <c r="C20" s="7" t="n">
        <v>1</v>
      </c>
      <c r="D20" s="8" t="inlineStr">
        <is>
          <t>694106301002</t>
        </is>
      </c>
      <c r="E20" s="8" t="inlineStr">
        <is>
          <t>DC-Hohlstecker-Buchse 2.1mm / 5.5mm</t>
        </is>
      </c>
      <c r="F20" s="8" t="inlineStr">
        <is>
          <t>DC-Power Jack 2.1mm</t>
        </is>
      </c>
      <c r="G20" s="8" t="inlineStr">
        <is>
          <t>710-694106301002</t>
        </is>
      </c>
      <c r="H20" s="8" t="inlineStr">
        <is>
          <t>694106301002</t>
        </is>
      </c>
      <c r="I20" s="9" t="n">
        <v>1.1</v>
      </c>
      <c r="J20" s="9">
        <f>C20*I20</f>
        <v/>
      </c>
      <c r="K20" s="7" t="inlineStr">
        <is>
          <t>Mouser</t>
        </is>
      </c>
    </row>
    <row r="21">
      <c r="A21" s="4" t="n">
        <v>17</v>
      </c>
      <c r="B21" s="5" t="inlineStr">
        <is>
          <t>J11</t>
        </is>
      </c>
      <c r="C21" s="4" t="n">
        <v>1</v>
      </c>
      <c r="D21" s="5" t="inlineStr">
        <is>
          <t>Conn_01x06</t>
        </is>
      </c>
      <c r="E21" s="5" t="inlineStr">
        <is>
          <t>Stiftleiste 1x6-polig RM 2.54mm gerade</t>
        </is>
      </c>
      <c r="F21" s="5" t="inlineStr">
        <is>
          <t>Pin Header 1x06 RM2.54</t>
        </is>
      </c>
      <c r="G21" s="5" t="inlineStr">
        <is>
          <t>517-961106-6404-AR</t>
        </is>
      </c>
      <c r="H21" s="5" t="inlineStr">
        <is>
          <t>961106-6404-AR</t>
        </is>
      </c>
      <c r="I21" s="6" t="n">
        <v>0.45</v>
      </c>
      <c r="J21" s="6">
        <f>C21*I21</f>
        <v/>
      </c>
      <c r="K21" s="4" t="inlineStr">
        <is>
          <t>Mouser</t>
        </is>
      </c>
    </row>
    <row r="22">
      <c r="A22" s="7" t="n">
        <v>18</v>
      </c>
      <c r="B22" s="8" t="inlineStr">
        <is>
          <t>Zubehör</t>
        </is>
      </c>
      <c r="C22" s="7" t="n">
        <v>1</v>
      </c>
      <c r="D22" s="8" t="inlineStr">
        <is>
          <t>SWI12-12-E-P5</t>
        </is>
      </c>
      <c r="E22" s="8" t="inlineStr">
        <is>
          <t>AC/DC Steckernetzteil 12V 1A Eurostecker (Zubehör)</t>
        </is>
      </c>
      <c r="F22" s="8" t="inlineStr">
        <is>
          <t>Wall Adapter</t>
        </is>
      </c>
      <c r="G22" s="8" t="inlineStr">
        <is>
          <t>490-SWI12-12-E-P5</t>
        </is>
      </c>
      <c r="H22" s="8" t="inlineStr">
        <is>
          <t>SWI12-12-E-P5</t>
        </is>
      </c>
      <c r="I22" s="9" t="n">
        <v>11.2</v>
      </c>
      <c r="J22" s="9">
        <f>C22*I22</f>
        <v/>
      </c>
      <c r="K22" s="7" t="inlineStr">
        <is>
          <t>Mouser</t>
        </is>
      </c>
    </row>
    <row r="23">
      <c r="A23" s="10" t="inlineStr">
        <is>
          <t>TOTAL ZENTRALE:</t>
        </is>
      </c>
      <c r="B23" s="11" t="n"/>
      <c r="C23" s="12">
        <f>SUM(C5:C22)</f>
        <v/>
      </c>
      <c r="D23" s="11" t="n"/>
      <c r="E23" s="11" t="n"/>
      <c r="F23" s="11" t="n"/>
      <c r="G23" s="11" t="n"/>
      <c r="H23" s="11" t="n"/>
      <c r="I23" s="11" t="n"/>
      <c r="J23" s="13">
        <f>SUM(J5:J22)</f>
        <v/>
      </c>
      <c r="K23" s="11" t="n"/>
    </row>
  </sheetData>
  <mergeCells count="1"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6" customWidth="1" min="4" max="4"/>
    <col width="77" customWidth="1" min="5" max="5"/>
    <col width="28" customWidth="1" min="6" max="6"/>
    <col width="24" customWidth="1" min="7" max="7"/>
    <col width="26" customWidth="1" min="8" max="8"/>
    <col width="20" customWidth="1" min="9" max="9"/>
    <col width="21" customWidth="1" min="10" max="10"/>
    <col width="13" customWidth="1" min="11" max="11"/>
  </cols>
  <sheetData>
    <row r="1">
      <c r="A1" s="1" t="inlineStr">
        <is>
          <t>SYNCHRO Booster – Modul-Stückliste</t>
        </is>
      </c>
    </row>
    <row r="2">
      <c r="A2" s="2" t="inlineStr">
        <is>
          <t>Projekt: SYNCHRO Booster | 0805 SMD-Widerstände zusammengefasst | Mouser Bestellnummern &amp; Richtpreise</t>
        </is>
      </c>
    </row>
    <row r="3"/>
    <row r="4">
      <c r="A4" s="3" t="inlineStr">
        <is>
          <t>Pos</t>
        </is>
      </c>
      <c r="B4" s="3" t="inlineStr">
        <is>
          <t>Designator</t>
        </is>
      </c>
      <c r="C4" s="3" t="inlineStr">
        <is>
          <t>Menge</t>
        </is>
      </c>
      <c r="D4" s="3" t="inlineStr">
        <is>
          <t>Wert / Typ</t>
        </is>
      </c>
      <c r="E4" s="3" t="inlineStr">
        <is>
          <t>Beschreibung</t>
        </is>
      </c>
      <c r="F4" s="3" t="inlineStr">
        <is>
          <t>Bauform / Gehäuse</t>
        </is>
      </c>
      <c r="G4" s="3" t="inlineStr">
        <is>
          <t>Mouser Bestellnummer</t>
        </is>
      </c>
      <c r="H4" s="3" t="inlineStr">
        <is>
          <t>Hersteller-Teilenummer</t>
        </is>
      </c>
      <c r="I4" s="3" t="inlineStr">
        <is>
          <t>Stückpreis (CHF)</t>
        </is>
      </c>
      <c r="J4" s="3" t="inlineStr">
        <is>
          <t>Gesamtpreis (CHF)</t>
        </is>
      </c>
      <c r="K4" s="3" t="inlineStr">
        <is>
          <t>Lieferant</t>
        </is>
      </c>
    </row>
    <row r="5">
      <c r="A5" s="4" t="n">
        <v>1</v>
      </c>
      <c r="B5" s="5" t="inlineStr">
        <is>
          <t>IC1</t>
        </is>
      </c>
      <c r="C5" s="4" t="n">
        <v>1</v>
      </c>
      <c r="D5" s="5" t="inlineStr">
        <is>
          <t>L6203</t>
        </is>
      </c>
      <c r="E5" s="5" t="inlineStr">
        <is>
          <t>DMOS Vollbrücken-Treiber 4A 52V</t>
        </is>
      </c>
      <c r="F5" s="5" t="inlineStr">
        <is>
          <t>MULTIWATT-11</t>
        </is>
      </c>
      <c r="G5" s="5" t="inlineStr">
        <is>
          <t>511-L6203</t>
        </is>
      </c>
      <c r="H5" s="5" t="inlineStr">
        <is>
          <t>L6203</t>
        </is>
      </c>
      <c r="I5" s="6" t="n">
        <v>9.94</v>
      </c>
      <c r="J5" s="6">
        <f>C5*I5</f>
        <v/>
      </c>
      <c r="K5" s="4" t="inlineStr">
        <is>
          <t>Mouser</t>
        </is>
      </c>
    </row>
    <row r="6">
      <c r="A6" s="7" t="n">
        <v>2</v>
      </c>
      <c r="B6" s="8" t="inlineStr">
        <is>
          <t>U1</t>
        </is>
      </c>
      <c r="C6" s="7" t="n">
        <v>1</v>
      </c>
      <c r="D6" s="8" t="inlineStr">
        <is>
          <t>LM393P</t>
        </is>
      </c>
      <c r="E6" s="8" t="inlineStr">
        <is>
          <t>Dualer Komparator Low-Power</t>
        </is>
      </c>
      <c r="F6" s="8" t="inlineStr">
        <is>
          <t>DIP-8</t>
        </is>
      </c>
      <c r="G6" s="8" t="inlineStr">
        <is>
          <t>595-LM393P</t>
        </is>
      </c>
      <c r="H6" s="8" t="inlineStr">
        <is>
          <t>LM393P</t>
        </is>
      </c>
      <c r="I6" s="9" t="n">
        <v>0.65</v>
      </c>
      <c r="J6" s="9">
        <f>C6*I6</f>
        <v/>
      </c>
      <c r="K6" s="7" t="inlineStr">
        <is>
          <t>Mouser</t>
        </is>
      </c>
    </row>
    <row r="7">
      <c r="A7" s="4" t="n">
        <v>3</v>
      </c>
      <c r="B7" s="5" t="inlineStr">
        <is>
          <t>U2, U3</t>
        </is>
      </c>
      <c r="C7" s="4" t="n">
        <v>2</v>
      </c>
      <c r="D7" s="5" t="inlineStr">
        <is>
          <t>6N137</t>
        </is>
      </c>
      <c r="E7" s="5" t="inlineStr">
        <is>
          <t>High-Speed Optokoppler 10 MBd Open-Collector</t>
        </is>
      </c>
      <c r="F7" s="5" t="inlineStr">
        <is>
          <t>DIP-8</t>
        </is>
      </c>
      <c r="G7" s="5" t="inlineStr">
        <is>
          <t>782-6N137</t>
        </is>
      </c>
      <c r="H7" s="5" t="inlineStr">
        <is>
          <t>6N137</t>
        </is>
      </c>
      <c r="I7" s="6" t="n">
        <v>1.15</v>
      </c>
      <c r="J7" s="6">
        <f>C7*I7</f>
        <v/>
      </c>
      <c r="K7" s="4" t="inlineStr">
        <is>
          <t>Mouser</t>
        </is>
      </c>
    </row>
    <row r="8">
      <c r="A8" s="7" t="n">
        <v>4</v>
      </c>
      <c r="B8" s="8" t="inlineStr">
        <is>
          <t>U4</t>
        </is>
      </c>
      <c r="C8" s="7" t="n">
        <v>1</v>
      </c>
      <c r="D8" s="8" t="inlineStr">
        <is>
          <t>74LVC2G02</t>
        </is>
      </c>
      <c r="E8" s="8" t="inlineStr">
        <is>
          <t>Dual 2-Input NOR-Gatter (SN74LVC2G02DCUR)</t>
        </is>
      </c>
      <c r="F8" s="8" t="inlineStr">
        <is>
          <t>VSSOP-8</t>
        </is>
      </c>
      <c r="G8" s="8" t="inlineStr">
        <is>
          <t>595-SN74LVC2G02DCUR</t>
        </is>
      </c>
      <c r="H8" s="8" t="inlineStr">
        <is>
          <t>SN74LVC2G02DCUR</t>
        </is>
      </c>
      <c r="I8" s="9" t="n">
        <v>0.45</v>
      </c>
      <c r="J8" s="9">
        <f>C8*I8</f>
        <v/>
      </c>
      <c r="K8" s="7" t="inlineStr">
        <is>
          <t>Mouser</t>
        </is>
      </c>
    </row>
    <row r="9">
      <c r="A9" s="4" t="n">
        <v>5</v>
      </c>
      <c r="B9" s="5" t="inlineStr">
        <is>
          <t>PS1</t>
        </is>
      </c>
      <c r="C9" s="4" t="n">
        <v>1</v>
      </c>
      <c r="D9" s="5" t="inlineStr">
        <is>
          <t>R-78E5.0-0.5</t>
        </is>
      </c>
      <c r="E9" s="5" t="inlineStr">
        <is>
          <t>DC/DC-Schaltregler 5.0V 500mA SIP-3</t>
        </is>
      </c>
      <c r="F9" s="5" t="inlineStr">
        <is>
          <t>SIP-3 THT</t>
        </is>
      </c>
      <c r="G9" s="5" t="inlineStr">
        <is>
          <t>919-R-78E5.0-0.5</t>
        </is>
      </c>
      <c r="H9" s="5" t="inlineStr">
        <is>
          <t>R-78E5.0-0.5</t>
        </is>
      </c>
      <c r="I9" s="6" t="n">
        <v>2.65</v>
      </c>
      <c r="J9" s="6">
        <f>C9*I9</f>
        <v/>
      </c>
      <c r="K9" s="4" t="inlineStr">
        <is>
          <t>Mouser</t>
        </is>
      </c>
    </row>
    <row r="10">
      <c r="A10" s="7" t="n">
        <v>6</v>
      </c>
      <c r="B10" s="8" t="inlineStr">
        <is>
          <t>D1, D2</t>
        </is>
      </c>
      <c r="C10" s="7" t="n">
        <v>2</v>
      </c>
      <c r="D10" s="8" t="inlineStr">
        <is>
          <t>1N4148</t>
        </is>
      </c>
      <c r="E10" s="8" t="inlineStr">
        <is>
          <t>Standard-Schaltdiode 100V 200mA</t>
        </is>
      </c>
      <c r="F10" s="8" t="inlineStr">
        <is>
          <t>DO-35 THT</t>
        </is>
      </c>
      <c r="G10" s="8" t="inlineStr">
        <is>
          <t>512-1N4148</t>
        </is>
      </c>
      <c r="H10" s="8" t="inlineStr">
        <is>
          <t>1N4148</t>
        </is>
      </c>
      <c r="I10" s="9" t="n">
        <v>0.12</v>
      </c>
      <c r="J10" s="9">
        <f>C10*I10</f>
        <v/>
      </c>
      <c r="K10" s="7" t="inlineStr">
        <is>
          <t>Mouser</t>
        </is>
      </c>
    </row>
    <row r="11">
      <c r="A11" s="4" t="n">
        <v>7</v>
      </c>
      <c r="B11" s="5" t="inlineStr">
        <is>
          <t>D3</t>
        </is>
      </c>
      <c r="C11" s="4" t="n">
        <v>1</v>
      </c>
      <c r="D11" s="5" t="inlineStr">
        <is>
          <t>SMAJ16CA-E3/61</t>
        </is>
      </c>
      <c r="E11" s="5" t="inlineStr">
        <is>
          <t>TVS-Diode Bidirektional 16V 400W</t>
        </is>
      </c>
      <c r="F11" s="5" t="inlineStr">
        <is>
          <t>SMA (DO-214AC)</t>
        </is>
      </c>
      <c r="G11" s="5" t="inlineStr">
        <is>
          <t>625-SMAJ16CA-E3/61</t>
        </is>
      </c>
      <c r="H11" s="5" t="inlineStr">
        <is>
          <t>SMAJ16CA-E3/61</t>
        </is>
      </c>
      <c r="I11" s="6" t="n">
        <v>0.42</v>
      </c>
      <c r="J11" s="6">
        <f>C11*I11</f>
        <v/>
      </c>
      <c r="K11" s="4" t="inlineStr">
        <is>
          <t>Mouser</t>
        </is>
      </c>
    </row>
    <row r="12">
      <c r="A12" s="7" t="n">
        <v>8</v>
      </c>
      <c r="B12" s="8" t="inlineStr">
        <is>
          <t>D4, D5</t>
        </is>
      </c>
      <c r="C12" s="7" t="n">
        <v>2</v>
      </c>
      <c r="D12" s="8" t="inlineStr">
        <is>
          <t>LED</t>
        </is>
      </c>
      <c r="E12" s="8" t="inlineStr">
        <is>
          <t>Standard Signal-LED 5mm THT</t>
        </is>
      </c>
      <c r="F12" s="8" t="inlineStr">
        <is>
          <t>LED 5.0mm Radial</t>
        </is>
      </c>
      <c r="G12" s="8" t="inlineStr">
        <is>
          <t>604-WP7113GD</t>
        </is>
      </c>
      <c r="H12" s="8" t="inlineStr">
        <is>
          <t>WP7113GD</t>
        </is>
      </c>
      <c r="I12" s="9" t="n">
        <v>0.28</v>
      </c>
      <c r="J12" s="9">
        <f>C12*I12</f>
        <v/>
      </c>
      <c r="K12" s="7" t="inlineStr">
        <is>
          <t>Mouser</t>
        </is>
      </c>
    </row>
    <row r="13">
      <c r="A13" s="4" t="n">
        <v>9</v>
      </c>
      <c r="B13" s="5" t="inlineStr">
        <is>
          <t>F1</t>
        </is>
      </c>
      <c r="C13" s="4" t="n">
        <v>1</v>
      </c>
      <c r="D13" s="5" t="inlineStr">
        <is>
          <t>MF-R185-2-99</t>
        </is>
      </c>
      <c r="E13" s="5" t="inlineStr">
        <is>
          <t>PTC-Sicherung PolySwitch rückstellbar 1.85A</t>
        </is>
      </c>
      <c r="F13" s="5" t="inlineStr">
        <is>
          <t>Radial THT</t>
        </is>
      </c>
      <c r="G13" s="5" t="inlineStr">
        <is>
          <t>652-MF-R185-2-99</t>
        </is>
      </c>
      <c r="H13" s="5" t="inlineStr">
        <is>
          <t>MF-R185-2-99</t>
        </is>
      </c>
      <c r="I13" s="6" t="n">
        <v>0.85</v>
      </c>
      <c r="J13" s="6">
        <f>C13*I13</f>
        <v/>
      </c>
      <c r="K13" s="4" t="inlineStr">
        <is>
          <t>Mouser</t>
        </is>
      </c>
    </row>
    <row r="14">
      <c r="A14" s="7" t="n">
        <v>10</v>
      </c>
      <c r="B14" s="8" t="inlineStr">
        <is>
          <t>C1, C9..C12</t>
        </is>
      </c>
      <c r="C14" s="7" t="n">
        <v>5</v>
      </c>
      <c r="D14" s="8" t="inlineStr">
        <is>
          <t>100nF</t>
        </is>
      </c>
      <c r="E14" s="8" t="inlineStr">
        <is>
          <t>Keramikkondensator 100nF 50V X7R THT</t>
        </is>
      </c>
      <c r="F14" s="8" t="inlineStr">
        <is>
          <t>Radial D5.0mm RM5.0</t>
        </is>
      </c>
      <c r="G14" s="8" t="inlineStr">
        <is>
          <t>80-C315C104K5R5TA</t>
        </is>
      </c>
      <c r="H14" s="8" t="inlineStr">
        <is>
          <t>C315C104K5R5TA</t>
        </is>
      </c>
      <c r="I14" s="9" t="n">
        <v>0.25</v>
      </c>
      <c r="J14" s="9">
        <f>C14*I14</f>
        <v/>
      </c>
      <c r="K14" s="7" t="inlineStr">
        <is>
          <t>Mouser</t>
        </is>
      </c>
    </row>
    <row r="15">
      <c r="A15" s="4" t="n">
        <v>11</v>
      </c>
      <c r="B15" s="5" t="inlineStr">
        <is>
          <t>C2, C3</t>
        </is>
      </c>
      <c r="C15" s="4" t="n">
        <v>2</v>
      </c>
      <c r="D15" s="5" t="inlineStr">
        <is>
          <t>470uF</t>
        </is>
      </c>
      <c r="E15" s="5" t="inlineStr">
        <is>
          <t>Elektrolytkondensator Radial 470µF 35V Low-ESR</t>
        </is>
      </c>
      <c r="F15" s="5" t="inlineStr">
        <is>
          <t>Radial D10mm RM5.0</t>
        </is>
      </c>
      <c r="G15" s="5" t="inlineStr">
        <is>
          <t>667-EEU-FR1V471</t>
        </is>
      </c>
      <c r="H15" s="5" t="inlineStr">
        <is>
          <t>EEU-FR1V471</t>
        </is>
      </c>
      <c r="I15" s="6" t="n">
        <v>0.72</v>
      </c>
      <c r="J15" s="6">
        <f>C15*I15</f>
        <v/>
      </c>
      <c r="K15" s="4" t="inlineStr">
        <is>
          <t>Mouser</t>
        </is>
      </c>
    </row>
    <row r="16">
      <c r="A16" s="7" t="n">
        <v>12</v>
      </c>
      <c r="B16" s="8" t="inlineStr">
        <is>
          <t>C4</t>
        </is>
      </c>
      <c r="C16" s="7" t="n">
        <v>1</v>
      </c>
      <c r="D16" s="8" t="inlineStr">
        <is>
          <t>10nF</t>
        </is>
      </c>
      <c r="E16" s="8" t="inlineStr">
        <is>
          <t>Keramikkondensator 10nF 50V X7R THT</t>
        </is>
      </c>
      <c r="F16" s="8" t="inlineStr">
        <is>
          <t>Radial D5.0mm RM5.0</t>
        </is>
      </c>
      <c r="G16" s="8" t="inlineStr">
        <is>
          <t>80-C315C103K5R5TA</t>
        </is>
      </c>
      <c r="H16" s="8" t="inlineStr">
        <is>
          <t>C315C103K5R5TA</t>
        </is>
      </c>
      <c r="I16" s="9" t="n">
        <v>0.2</v>
      </c>
      <c r="J16" s="9">
        <f>C16*I16</f>
        <v/>
      </c>
      <c r="K16" s="7" t="inlineStr">
        <is>
          <t>Mouser</t>
        </is>
      </c>
    </row>
    <row r="17">
      <c r="A17" s="4" t="n">
        <v>13</v>
      </c>
      <c r="B17" s="5" t="inlineStr">
        <is>
          <t>C5, C6, C7</t>
        </is>
      </c>
      <c r="C17" s="4" t="n">
        <v>3</v>
      </c>
      <c r="D17" s="5" t="inlineStr">
        <is>
          <t>22nF 50V</t>
        </is>
      </c>
      <c r="E17" s="5" t="inlineStr">
        <is>
          <t>Folienkondensator MKS 22nF 63V/50V RM5.0</t>
        </is>
      </c>
      <c r="F17" s="5" t="inlineStr">
        <is>
          <t>Rect THT RM5.0</t>
        </is>
      </c>
      <c r="G17" s="5" t="inlineStr">
        <is>
          <t>505-MKS20.022/63/10</t>
        </is>
      </c>
      <c r="H17" s="5" t="inlineStr">
        <is>
          <t>MKS2C022201A00KSSD</t>
        </is>
      </c>
      <c r="I17" s="6" t="n">
        <v>0.55</v>
      </c>
      <c r="J17" s="6">
        <f>C17*I17</f>
        <v/>
      </c>
      <c r="K17" s="4" t="inlineStr">
        <is>
          <t>Mouser</t>
        </is>
      </c>
    </row>
    <row r="18">
      <c r="A18" s="7" t="n">
        <v>14</v>
      </c>
      <c r="B18" s="8" t="inlineStr">
        <is>
          <t>C8</t>
        </is>
      </c>
      <c r="C18" s="7" t="n">
        <v>1</v>
      </c>
      <c r="D18" s="8" t="inlineStr">
        <is>
          <t>10uF 50V</t>
        </is>
      </c>
      <c r="E18" s="8" t="inlineStr">
        <is>
          <t>Folienkondensator / MLCC 10µF 50V RM5.0</t>
        </is>
      </c>
      <c r="F18" s="8" t="inlineStr">
        <is>
          <t>Rect THT RM5.0</t>
        </is>
      </c>
      <c r="G18" s="8" t="inlineStr">
        <is>
          <t>80-C330C106M5U5TA</t>
        </is>
      </c>
      <c r="H18" s="8" t="inlineStr">
        <is>
          <t>C330C106M5U5TA</t>
        </is>
      </c>
      <c r="I18" s="9" t="n">
        <v>0.95</v>
      </c>
      <c r="J18" s="9">
        <f>C18*I18</f>
        <v/>
      </c>
      <c r="K18" s="7" t="inlineStr">
        <is>
          <t>Mouser</t>
        </is>
      </c>
    </row>
    <row r="19">
      <c r="A19" s="4" t="n">
        <v>15</v>
      </c>
      <c r="B19" s="5" t="inlineStr">
        <is>
          <t>R1</t>
        </is>
      </c>
      <c r="C19" s="4" t="n">
        <v>1</v>
      </c>
      <c r="D19" s="5" t="inlineStr">
        <is>
          <t>100m</t>
        </is>
      </c>
      <c r="E19" s="5" t="inlineStr">
        <is>
          <t>Shunt-Messwiderstand 100mΩ 1% 2W SMD 2512</t>
        </is>
      </c>
      <c r="F19" s="5" t="inlineStr">
        <is>
          <t>2512 SMD</t>
        </is>
      </c>
      <c r="G19" s="5" t="inlineStr">
        <is>
          <t>71-LRMAP2512-R10FT4</t>
        </is>
      </c>
      <c r="H19" s="5" t="inlineStr">
        <is>
          <t>LRMAP2512-R10FT4</t>
        </is>
      </c>
      <c r="I19" s="6" t="n">
        <v>0.95</v>
      </c>
      <c r="J19" s="6">
        <f>C19*I19</f>
        <v/>
      </c>
      <c r="K19" s="4" t="inlineStr">
        <is>
          <t>Mouser</t>
        </is>
      </c>
    </row>
    <row r="20">
      <c r="A20" s="7" t="n">
        <v>16</v>
      </c>
      <c r="B20" s="8" t="inlineStr">
        <is>
          <t>R2 .. R13</t>
        </is>
      </c>
      <c r="C20" s="7" t="n">
        <v>11</v>
      </c>
      <c r="D20" s="8" t="inlineStr">
        <is>
          <t>0805 SMD Widerstände</t>
        </is>
      </c>
      <c r="E20" s="8" t="inlineStr">
        <is>
          <t>SMD-Widerstände 0805 1% (4x 1k, 1x 24k, 3x 4.7k, 1x 10R, 2x 1.2k, 1x 10k)</t>
        </is>
      </c>
      <c r="F20" s="8" t="inlineStr">
        <is>
          <t>0805 SMD</t>
        </is>
      </c>
      <c r="G20" s="8" t="inlineStr">
        <is>
          <t>603-RC0805FR-Serie</t>
        </is>
      </c>
      <c r="H20" s="8" t="inlineStr">
        <is>
          <t>RC0805FR-Serie</t>
        </is>
      </c>
      <c r="I20" s="9" t="n">
        <v>0.08</v>
      </c>
      <c r="J20" s="9">
        <f>C20*I20</f>
        <v/>
      </c>
      <c r="K20" s="7" t="inlineStr">
        <is>
          <t>Mouser</t>
        </is>
      </c>
    </row>
    <row r="21">
      <c r="A21" s="4" t="n">
        <v>17</v>
      </c>
      <c r="B21" s="5" t="inlineStr">
        <is>
          <t>SW1</t>
        </is>
      </c>
      <c r="C21" s="4" t="n">
        <v>1</v>
      </c>
      <c r="D21" s="5" t="inlineStr">
        <is>
          <t>SW_Push</t>
        </is>
      </c>
      <c r="E21" s="5" t="inlineStr">
        <is>
          <t>Kurzhubtaster 6x6mm THT H=4.3mm/5mm</t>
        </is>
      </c>
      <c r="F21" s="5" t="inlineStr">
        <is>
          <t>Button 6x6mm THT</t>
        </is>
      </c>
      <c r="G21" s="5" t="inlineStr">
        <is>
          <t>688-SKHHBY004A</t>
        </is>
      </c>
      <c r="H21" s="5" t="inlineStr">
        <is>
          <t>SKHHBY004A</t>
        </is>
      </c>
      <c r="I21" s="6" t="n">
        <v>0.32</v>
      </c>
      <c r="J21" s="6">
        <f>C21*I21</f>
        <v/>
      </c>
      <c r="K21" s="4" t="inlineStr">
        <is>
          <t>Mouser</t>
        </is>
      </c>
    </row>
    <row r="22">
      <c r="A22" s="7" t="n">
        <v>18</v>
      </c>
      <c r="B22" s="8" t="inlineStr">
        <is>
          <t>SW2</t>
        </is>
      </c>
      <c r="C22" s="7" t="n">
        <v>1</v>
      </c>
      <c r="D22" s="8" t="inlineStr">
        <is>
          <t>SW_SPDT</t>
        </is>
      </c>
      <c r="E22" s="8" t="inlineStr">
        <is>
          <t>Phoenix Schraubklemme 3-polig RM 5.08mm</t>
        </is>
      </c>
      <c r="F22" s="8" t="inlineStr">
        <is>
          <t>Terminal Block RM 5.08mm</t>
        </is>
      </c>
      <c r="G22" s="8" t="inlineStr">
        <is>
          <t>651-1711738</t>
        </is>
      </c>
      <c r="H22" s="8" t="inlineStr">
        <is>
          <t>1711738</t>
        </is>
      </c>
      <c r="I22" s="9" t="n">
        <v>1.35</v>
      </c>
      <c r="J22" s="9">
        <f>C22*I22</f>
        <v/>
      </c>
      <c r="K22" s="7" t="inlineStr">
        <is>
          <t>Mouser</t>
        </is>
      </c>
    </row>
    <row r="23">
      <c r="A23" s="4" t="n">
        <v>19</v>
      </c>
      <c r="B23" s="5" t="inlineStr">
        <is>
          <t>J1, J2</t>
        </is>
      </c>
      <c r="C23" s="4" t="n">
        <v>2</v>
      </c>
      <c r="D23" s="5" t="inlineStr">
        <is>
          <t>Conn_01x02_Pin / Power</t>
        </is>
      </c>
      <c r="E23" s="5" t="inlineStr">
        <is>
          <t>Phoenix Schraubklemme 2-polig RM 5.08mm</t>
        </is>
      </c>
      <c r="F23" s="5" t="inlineStr">
        <is>
          <t>Terminal Block RM 5.08mm</t>
        </is>
      </c>
      <c r="G23" s="5" t="inlineStr">
        <is>
          <t>651-1715721</t>
        </is>
      </c>
      <c r="H23" s="5" t="inlineStr">
        <is>
          <t>1715721</t>
        </is>
      </c>
      <c r="I23" s="6" t="n">
        <v>0.95</v>
      </c>
      <c r="J23" s="6">
        <f>C23*I23</f>
        <v/>
      </c>
      <c r="K23" s="4" t="inlineStr">
        <is>
          <t>Mouser</t>
        </is>
      </c>
    </row>
    <row r="24">
      <c r="A24" s="7" t="n">
        <v>20</v>
      </c>
      <c r="B24" s="8" t="inlineStr">
        <is>
          <t>J3</t>
        </is>
      </c>
      <c r="C24" s="7" t="n">
        <v>1</v>
      </c>
      <c r="D24" s="8" t="inlineStr">
        <is>
          <t>B4B-XH-A</t>
        </is>
      </c>
      <c r="E24" s="8" t="inlineStr">
        <is>
          <t>JST XH Stiftwanne 4-polig RM 2.50mm</t>
        </is>
      </c>
      <c r="F24" s="8" t="inlineStr">
        <is>
          <t>JST XH 4-Pin RM 2.50mm</t>
        </is>
      </c>
      <c r="G24" s="8" t="inlineStr">
        <is>
          <t>306-B4BXHALFSN</t>
        </is>
      </c>
      <c r="H24" s="8" t="inlineStr">
        <is>
          <t>B4B-XH-A(LF)(SN)</t>
        </is>
      </c>
      <c r="I24" s="9" t="n">
        <v>0.25</v>
      </c>
      <c r="J24" s="9">
        <f>C24*I24</f>
        <v/>
      </c>
      <c r="K24" s="7" t="inlineStr">
        <is>
          <t>Mouser</t>
        </is>
      </c>
    </row>
    <row r="25">
      <c r="A25" s="4" t="n">
        <v>21</v>
      </c>
      <c r="B25" s="5" t="inlineStr">
        <is>
          <t>J4</t>
        </is>
      </c>
      <c r="C25" s="4" t="n">
        <v>1</v>
      </c>
      <c r="D25" s="5" t="inlineStr">
        <is>
          <t>Messpunkt</t>
        </is>
      </c>
      <c r="E25" s="5" t="inlineStr">
        <is>
          <t>Prüfpunkt / Test Point PCB Miniatur THT</t>
        </is>
      </c>
      <c r="F25" s="5" t="inlineStr">
        <is>
          <t>Test Point THT</t>
        </is>
      </c>
      <c r="G25" s="5" t="inlineStr">
        <is>
          <t>534-5001</t>
        </is>
      </c>
      <c r="H25" s="5" t="inlineStr">
        <is>
          <t>5001</t>
        </is>
      </c>
      <c r="I25" s="6" t="n">
        <v>0.35</v>
      </c>
      <c r="J25" s="6">
        <f>C25*I25</f>
        <v/>
      </c>
      <c r="K25" s="4" t="inlineStr">
        <is>
          <t>Mouser</t>
        </is>
      </c>
    </row>
    <row r="26">
      <c r="A26" s="10" t="inlineStr">
        <is>
          <t>TOTAL BOOSTER:</t>
        </is>
      </c>
      <c r="B26" s="11" t="n"/>
      <c r="C26" s="12">
        <f>SUM(C5:C25)</f>
        <v/>
      </c>
      <c r="D26" s="11" t="n"/>
      <c r="E26" s="11" t="n"/>
      <c r="F26" s="11" t="n"/>
      <c r="G26" s="11" t="n"/>
      <c r="H26" s="11" t="n"/>
      <c r="I26" s="11" t="n"/>
      <c r="J26" s="13">
        <f>SUM(J5:J25)</f>
        <v/>
      </c>
      <c r="K26" s="11" t="n"/>
    </row>
  </sheetData>
  <mergeCells count="1">
    <mergeCell ref="A26:B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2026-08-23T20:02:51Z</dcterms:created>
  <dcterms:modified xmlns:dcterms="http://purl.org/dc/terms/" xmlns:xsi="http://www.w3.org/2001/XMLSchema-instance" xsi:type="dcterms:W3CDTF">2026-08-23T20:02:51Z</dcterms:modified>
</cp:coreProperties>
</file>